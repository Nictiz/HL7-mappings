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8_{47438E9D-6DF7-1048-9BEB-38C1CC5E73BE}" xr6:coauthVersionLast="47" xr6:coauthVersionMax="47" xr10:uidLastSave="{00000000-0000-0000-0000-000000000000}"/>
  <bookViews>
    <workbookView xWindow="35320" yWindow="12640" windowWidth="38040" windowHeight="25980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2" i="5" l="1"/>
  <c r="B52" i="5"/>
  <c r="C52" i="5"/>
  <c r="D52" i="5"/>
  <c r="G52" i="5"/>
  <c r="H52" i="5"/>
  <c r="K52" i="5"/>
  <c r="L52" i="5"/>
  <c r="M52" i="5" s="1"/>
  <c r="O52" i="5"/>
  <c r="P52" i="5"/>
  <c r="A22" i="5"/>
  <c r="B22" i="5"/>
  <c r="C22" i="5"/>
  <c r="D22" i="5"/>
  <c r="G22" i="5"/>
  <c r="H22" i="5"/>
  <c r="K22" i="5"/>
  <c r="L22" i="5"/>
  <c r="M22" i="5"/>
  <c r="O22" i="5"/>
  <c r="P22" i="5"/>
  <c r="A23" i="5"/>
  <c r="B23" i="5"/>
  <c r="C23" i="5"/>
  <c r="D23" i="5"/>
  <c r="G23" i="5"/>
  <c r="H23" i="5"/>
  <c r="I23" i="5" s="1"/>
  <c r="K23" i="5"/>
  <c r="L23" i="5"/>
  <c r="O23" i="5"/>
  <c r="P23" i="5"/>
  <c r="A24" i="5"/>
  <c r="B24" i="5"/>
  <c r="C24" i="5"/>
  <c r="D24" i="5"/>
  <c r="G24" i="5"/>
  <c r="H24" i="5"/>
  <c r="I24" i="5"/>
  <c r="K24" i="5"/>
  <c r="L24" i="5"/>
  <c r="O24" i="5"/>
  <c r="P24" i="5"/>
  <c r="A25" i="5"/>
  <c r="B25" i="5"/>
  <c r="C25" i="5"/>
  <c r="D25" i="5"/>
  <c r="G25" i="5"/>
  <c r="I25" i="5" s="1"/>
  <c r="H25" i="5"/>
  <c r="K25" i="5"/>
  <c r="L25" i="5"/>
  <c r="M25" i="5" s="1"/>
  <c r="O25" i="5"/>
  <c r="P25" i="5"/>
  <c r="A26" i="5"/>
  <c r="B26" i="5"/>
  <c r="C26" i="5"/>
  <c r="D26" i="5"/>
  <c r="E26" i="5" s="1"/>
  <c r="G26" i="5"/>
  <c r="H26" i="5"/>
  <c r="K26" i="5"/>
  <c r="L26" i="5"/>
  <c r="O26" i="5"/>
  <c r="P26" i="5"/>
  <c r="A27" i="5"/>
  <c r="B27" i="5"/>
  <c r="C27" i="5"/>
  <c r="D27" i="5"/>
  <c r="G27" i="5"/>
  <c r="H27" i="5"/>
  <c r="K27" i="5"/>
  <c r="L27" i="5"/>
  <c r="O27" i="5"/>
  <c r="P27" i="5"/>
  <c r="A28" i="5"/>
  <c r="B28" i="5"/>
  <c r="C28" i="5"/>
  <c r="D28" i="5"/>
  <c r="G28" i="5"/>
  <c r="H28" i="5"/>
  <c r="K28" i="5"/>
  <c r="M28" i="5" s="1"/>
  <c r="L28" i="5"/>
  <c r="O28" i="5"/>
  <c r="P28" i="5"/>
  <c r="A29" i="5"/>
  <c r="B29" i="5"/>
  <c r="C29" i="5"/>
  <c r="D29" i="5"/>
  <c r="G29" i="5"/>
  <c r="H29" i="5"/>
  <c r="K29" i="5"/>
  <c r="L29" i="5"/>
  <c r="O29" i="5"/>
  <c r="P29" i="5"/>
  <c r="Q29" i="5" s="1"/>
  <c r="A30" i="5"/>
  <c r="B30" i="5"/>
  <c r="C30" i="5"/>
  <c r="D30" i="5"/>
  <c r="E30" i="5"/>
  <c r="G30" i="5"/>
  <c r="H30" i="5"/>
  <c r="K30" i="5"/>
  <c r="L30" i="5"/>
  <c r="O30" i="5"/>
  <c r="P30" i="5"/>
  <c r="A31" i="5"/>
  <c r="B31" i="5"/>
  <c r="C31" i="5"/>
  <c r="D31" i="5"/>
  <c r="G31" i="5"/>
  <c r="H31" i="5"/>
  <c r="K31" i="5"/>
  <c r="L31" i="5"/>
  <c r="O31" i="5"/>
  <c r="P31" i="5"/>
  <c r="A32" i="5"/>
  <c r="B32" i="5"/>
  <c r="C32" i="5"/>
  <c r="D32" i="5"/>
  <c r="G32" i="5"/>
  <c r="H32" i="5"/>
  <c r="K32" i="5"/>
  <c r="L32" i="5"/>
  <c r="O32" i="5"/>
  <c r="P32" i="5"/>
  <c r="A33" i="5"/>
  <c r="B33" i="5"/>
  <c r="C33" i="5"/>
  <c r="D33" i="5"/>
  <c r="E33" i="5" s="1"/>
  <c r="G33" i="5"/>
  <c r="H33" i="5"/>
  <c r="I33" i="5" s="1"/>
  <c r="K33" i="5"/>
  <c r="L33" i="5"/>
  <c r="M33" i="5" s="1"/>
  <c r="O33" i="5"/>
  <c r="P33" i="5"/>
  <c r="Q33" i="5" s="1"/>
  <c r="A34" i="5"/>
  <c r="B34" i="5"/>
  <c r="C34" i="5"/>
  <c r="D34" i="5"/>
  <c r="G34" i="5"/>
  <c r="H34" i="5"/>
  <c r="K34" i="5"/>
  <c r="L34" i="5"/>
  <c r="M34" i="5" s="1"/>
  <c r="O34" i="5"/>
  <c r="P34" i="5"/>
  <c r="Q34" i="5"/>
  <c r="A35" i="5"/>
  <c r="B35" i="5"/>
  <c r="C35" i="5"/>
  <c r="D35" i="5"/>
  <c r="G35" i="5"/>
  <c r="H35" i="5"/>
  <c r="K35" i="5"/>
  <c r="L35" i="5"/>
  <c r="O35" i="5"/>
  <c r="P35" i="5"/>
  <c r="A36" i="5"/>
  <c r="B36" i="5"/>
  <c r="C36" i="5"/>
  <c r="D36" i="5"/>
  <c r="G36" i="5"/>
  <c r="H36" i="5"/>
  <c r="K36" i="5"/>
  <c r="L36" i="5"/>
  <c r="O36" i="5"/>
  <c r="P36" i="5"/>
  <c r="A37" i="5"/>
  <c r="B37" i="5"/>
  <c r="C37" i="5"/>
  <c r="D37" i="5"/>
  <c r="E37" i="5" s="1"/>
  <c r="G37" i="5"/>
  <c r="H37" i="5"/>
  <c r="I37" i="5" s="1"/>
  <c r="K37" i="5"/>
  <c r="L37" i="5"/>
  <c r="M37" i="5" s="1"/>
  <c r="O37" i="5"/>
  <c r="P37" i="5"/>
  <c r="A38" i="5"/>
  <c r="B38" i="5"/>
  <c r="C38" i="5"/>
  <c r="D38" i="5"/>
  <c r="G38" i="5"/>
  <c r="H38" i="5"/>
  <c r="K38" i="5"/>
  <c r="L38" i="5"/>
  <c r="M38" i="5"/>
  <c r="O38" i="5"/>
  <c r="P38" i="5"/>
  <c r="A39" i="5"/>
  <c r="B39" i="5"/>
  <c r="C39" i="5"/>
  <c r="D39" i="5"/>
  <c r="G39" i="5"/>
  <c r="H39" i="5"/>
  <c r="K39" i="5"/>
  <c r="L39" i="5"/>
  <c r="O39" i="5"/>
  <c r="P39" i="5"/>
  <c r="A40" i="5"/>
  <c r="B40" i="5"/>
  <c r="C40" i="5"/>
  <c r="D40" i="5"/>
  <c r="G40" i="5"/>
  <c r="H40" i="5"/>
  <c r="I40" i="5"/>
  <c r="K40" i="5"/>
  <c r="L40" i="5"/>
  <c r="O40" i="5"/>
  <c r="P40" i="5"/>
  <c r="Q40" i="5" s="1"/>
  <c r="A41" i="5"/>
  <c r="B41" i="5"/>
  <c r="C41" i="5"/>
  <c r="D41" i="5"/>
  <c r="G41" i="5"/>
  <c r="H41" i="5"/>
  <c r="K41" i="5"/>
  <c r="L41" i="5"/>
  <c r="M41" i="5" s="1"/>
  <c r="O41" i="5"/>
  <c r="P41" i="5"/>
  <c r="Q41" i="5" s="1"/>
  <c r="A42" i="5"/>
  <c r="B42" i="5"/>
  <c r="C42" i="5"/>
  <c r="D42" i="5"/>
  <c r="G42" i="5"/>
  <c r="I42" i="5" s="1"/>
  <c r="H42" i="5"/>
  <c r="K42" i="5"/>
  <c r="L42" i="5"/>
  <c r="O42" i="5"/>
  <c r="P42" i="5"/>
  <c r="A43" i="5"/>
  <c r="B43" i="5"/>
  <c r="C43" i="5"/>
  <c r="D43" i="5"/>
  <c r="G43" i="5"/>
  <c r="H43" i="5"/>
  <c r="K43" i="5"/>
  <c r="L43" i="5"/>
  <c r="M43" i="5" s="1"/>
  <c r="O43" i="5"/>
  <c r="P43" i="5"/>
  <c r="A44" i="5"/>
  <c r="B44" i="5"/>
  <c r="C44" i="5"/>
  <c r="D44" i="5"/>
  <c r="G44" i="5"/>
  <c r="H44" i="5"/>
  <c r="K44" i="5"/>
  <c r="L44" i="5"/>
  <c r="M44" i="5" s="1"/>
  <c r="O44" i="5"/>
  <c r="P44" i="5"/>
  <c r="A45" i="5"/>
  <c r="B45" i="5"/>
  <c r="C45" i="5"/>
  <c r="D45" i="5"/>
  <c r="G45" i="5"/>
  <c r="H45" i="5"/>
  <c r="K45" i="5"/>
  <c r="L45" i="5"/>
  <c r="O45" i="5"/>
  <c r="P45" i="5"/>
  <c r="A46" i="5"/>
  <c r="B46" i="5"/>
  <c r="C46" i="5"/>
  <c r="D46" i="5"/>
  <c r="G46" i="5"/>
  <c r="H46" i="5"/>
  <c r="K46" i="5"/>
  <c r="L46" i="5"/>
  <c r="O46" i="5"/>
  <c r="P46" i="5"/>
  <c r="A47" i="5"/>
  <c r="B47" i="5"/>
  <c r="C47" i="5"/>
  <c r="D47" i="5"/>
  <c r="G47" i="5"/>
  <c r="H47" i="5"/>
  <c r="I47" i="5" s="1"/>
  <c r="K47" i="5"/>
  <c r="L47" i="5"/>
  <c r="O47" i="5"/>
  <c r="P47" i="5"/>
  <c r="A48" i="5"/>
  <c r="B48" i="5"/>
  <c r="C48" i="5"/>
  <c r="D48" i="5"/>
  <c r="G48" i="5"/>
  <c r="H48" i="5"/>
  <c r="K48" i="5"/>
  <c r="L48" i="5"/>
  <c r="O48" i="5"/>
  <c r="P48" i="5"/>
  <c r="Q48" i="5" s="1"/>
  <c r="A49" i="5"/>
  <c r="B49" i="5"/>
  <c r="C49" i="5"/>
  <c r="D49" i="5"/>
  <c r="G49" i="5"/>
  <c r="H49" i="5"/>
  <c r="K49" i="5"/>
  <c r="L49" i="5"/>
  <c r="M49" i="5" s="1"/>
  <c r="O49" i="5"/>
  <c r="P49" i="5"/>
  <c r="A50" i="5"/>
  <c r="B50" i="5"/>
  <c r="C50" i="5"/>
  <c r="D50" i="5"/>
  <c r="G50" i="5"/>
  <c r="H50" i="5"/>
  <c r="K50" i="5"/>
  <c r="L50" i="5"/>
  <c r="O50" i="5"/>
  <c r="P50" i="5"/>
  <c r="A51" i="5"/>
  <c r="B51" i="5"/>
  <c r="C51" i="5"/>
  <c r="D51" i="5"/>
  <c r="E51" i="5"/>
  <c r="G51" i="5"/>
  <c r="H51" i="5"/>
  <c r="K51" i="5"/>
  <c r="L51" i="5"/>
  <c r="M51" i="5" s="1"/>
  <c r="O51" i="5"/>
  <c r="P51" i="5"/>
  <c r="Q52" i="5" l="1"/>
  <c r="Q49" i="5"/>
  <c r="Q36" i="5"/>
  <c r="Q25" i="5"/>
  <c r="Q31" i="5"/>
  <c r="M45" i="5"/>
  <c r="M47" i="5"/>
  <c r="M48" i="5"/>
  <c r="I31" i="5"/>
  <c r="I39" i="5"/>
  <c r="I52" i="5"/>
  <c r="I48" i="5"/>
  <c r="I22" i="5"/>
  <c r="E45" i="5"/>
  <c r="E28" i="5"/>
  <c r="E36" i="5"/>
  <c r="E46" i="5"/>
  <c r="E29" i="5"/>
  <c r="E44" i="5"/>
  <c r="E52" i="5"/>
  <c r="V52" i="5" s="1"/>
  <c r="Q24" i="5"/>
  <c r="Q50" i="5"/>
  <c r="Q23" i="5"/>
  <c r="Q46" i="5"/>
  <c r="Q44" i="5"/>
  <c r="Q39" i="5"/>
  <c r="Q28" i="5"/>
  <c r="Q32" i="5"/>
  <c r="M32" i="5"/>
  <c r="M29" i="5"/>
  <c r="M27" i="5"/>
  <c r="M50" i="5"/>
  <c r="M23" i="5"/>
  <c r="M36" i="5"/>
  <c r="M30" i="5"/>
  <c r="I26" i="5"/>
  <c r="I41" i="5"/>
  <c r="I45" i="5"/>
  <c r="I49" i="5"/>
  <c r="I32" i="5"/>
  <c r="E22" i="5"/>
  <c r="E43" i="5"/>
  <c r="E34" i="5"/>
  <c r="E24" i="5"/>
  <c r="E35" i="5"/>
  <c r="E27" i="5"/>
  <c r="E49" i="5"/>
  <c r="E48" i="5"/>
  <c r="U48" i="5" s="1"/>
  <c r="E31" i="5"/>
  <c r="E38" i="5"/>
  <c r="U52" i="5"/>
  <c r="M46" i="5"/>
  <c r="I27" i="5"/>
  <c r="M24" i="5"/>
  <c r="E23" i="5"/>
  <c r="I35" i="5"/>
  <c r="Q47" i="5"/>
  <c r="I46" i="5"/>
  <c r="E42" i="5"/>
  <c r="M39" i="5"/>
  <c r="Q51" i="5"/>
  <c r="I50" i="5"/>
  <c r="Q37" i="5"/>
  <c r="T37" i="5" s="1"/>
  <c r="I28" i="5"/>
  <c r="U28" i="5" s="1"/>
  <c r="Q22" i="5"/>
  <c r="E50" i="5"/>
  <c r="I43" i="5"/>
  <c r="M40" i="5"/>
  <c r="E39" i="5"/>
  <c r="I36" i="5"/>
  <c r="Q30" i="5"/>
  <c r="I29" i="5"/>
  <c r="Q26" i="5"/>
  <c r="I51" i="5"/>
  <c r="Q45" i="5"/>
  <c r="E32" i="5"/>
  <c r="M26" i="5"/>
  <c r="E25" i="5"/>
  <c r="U25" i="5" s="1"/>
  <c r="E47" i="5"/>
  <c r="U47" i="5" s="1"/>
  <c r="Q38" i="5"/>
  <c r="I30" i="5"/>
  <c r="Q27" i="5"/>
  <c r="Q43" i="5"/>
  <c r="I44" i="5"/>
  <c r="E40" i="5"/>
  <c r="T40" i="5" s="1"/>
  <c r="Q42" i="5"/>
  <c r="Q35" i="5"/>
  <c r="I34" i="5"/>
  <c r="M42" i="5"/>
  <c r="E41" i="5"/>
  <c r="I38" i="5"/>
  <c r="M35" i="5"/>
  <c r="M31" i="5"/>
  <c r="T33" i="5"/>
  <c r="U33" i="5"/>
  <c r="V33" i="5"/>
  <c r="T23" i="5" l="1"/>
  <c r="V36" i="5"/>
  <c r="V30" i="5"/>
  <c r="V24" i="5"/>
  <c r="T46" i="5"/>
  <c r="U29" i="5"/>
  <c r="U36" i="5"/>
  <c r="U41" i="5"/>
  <c r="T29" i="5"/>
  <c r="R29" i="5" s="1"/>
  <c r="U26" i="5"/>
  <c r="V51" i="5"/>
  <c r="U46" i="5"/>
  <c r="J46" i="5" s="1"/>
  <c r="V46" i="5"/>
  <c r="V29" i="5"/>
  <c r="T36" i="5"/>
  <c r="F36" i="5" s="1"/>
  <c r="V49" i="5"/>
  <c r="U35" i="5"/>
  <c r="T32" i="5"/>
  <c r="U45" i="5"/>
  <c r="U34" i="5"/>
  <c r="T52" i="5"/>
  <c r="F52" i="5" s="1"/>
  <c r="V34" i="5"/>
  <c r="T38" i="5"/>
  <c r="T48" i="5"/>
  <c r="F48" i="5" s="1"/>
  <c r="U24" i="5"/>
  <c r="U49" i="5"/>
  <c r="V22" i="5"/>
  <c r="V48" i="5"/>
  <c r="T25" i="5"/>
  <c r="F25" i="5" s="1"/>
  <c r="T49" i="5"/>
  <c r="J49" i="5" s="1"/>
  <c r="V45" i="5"/>
  <c r="T45" i="5"/>
  <c r="U44" i="5"/>
  <c r="T51" i="5"/>
  <c r="V38" i="5"/>
  <c r="U51" i="5"/>
  <c r="T43" i="5"/>
  <c r="U38" i="5"/>
  <c r="T22" i="5"/>
  <c r="U22" i="5"/>
  <c r="F22" i="5" s="1"/>
  <c r="T24" i="5"/>
  <c r="R24" i="5" s="1"/>
  <c r="T42" i="5"/>
  <c r="T39" i="5"/>
  <c r="V26" i="5"/>
  <c r="T26" i="5"/>
  <c r="R26" i="5" s="1"/>
  <c r="V35" i="5"/>
  <c r="T31" i="5"/>
  <c r="F33" i="5"/>
  <c r="T27" i="5"/>
  <c r="V50" i="5"/>
  <c r="V44" i="5"/>
  <c r="T44" i="5"/>
  <c r="T28" i="5"/>
  <c r="N28" i="5" s="1"/>
  <c r="V28" i="5"/>
  <c r="V39" i="5"/>
  <c r="U39" i="5"/>
  <c r="F29" i="5"/>
  <c r="V32" i="5"/>
  <c r="U32" i="5"/>
  <c r="T34" i="5"/>
  <c r="V31" i="5"/>
  <c r="U42" i="5"/>
  <c r="J33" i="5"/>
  <c r="V40" i="5"/>
  <c r="V41" i="5"/>
  <c r="U40" i="5"/>
  <c r="R40" i="5" s="1"/>
  <c r="V23" i="5"/>
  <c r="V42" i="5"/>
  <c r="T41" i="5"/>
  <c r="U23" i="5"/>
  <c r="R23" i="5" s="1"/>
  <c r="U31" i="5"/>
  <c r="U30" i="5"/>
  <c r="T47" i="5"/>
  <c r="R47" i="5" s="1"/>
  <c r="T50" i="5"/>
  <c r="U50" i="5"/>
  <c r="R33" i="5"/>
  <c r="V37" i="5"/>
  <c r="V27" i="5"/>
  <c r="V47" i="5"/>
  <c r="T35" i="5"/>
  <c r="R35" i="5" s="1"/>
  <c r="U27" i="5"/>
  <c r="V43" i="5"/>
  <c r="T30" i="5"/>
  <c r="U37" i="5"/>
  <c r="J37" i="5" s="1"/>
  <c r="V25" i="5"/>
  <c r="U43" i="5"/>
  <c r="N33" i="5"/>
  <c r="J29" i="5"/>
  <c r="N29" i="5" l="1"/>
  <c r="F46" i="5"/>
  <c r="N46" i="5"/>
  <c r="R46" i="5"/>
  <c r="R25" i="5"/>
  <c r="J25" i="5"/>
  <c r="F45" i="5"/>
  <c r="J51" i="5"/>
  <c r="N36" i="5"/>
  <c r="J45" i="5"/>
  <c r="J34" i="5"/>
  <c r="F49" i="5"/>
  <c r="R49" i="5"/>
  <c r="N25" i="5"/>
  <c r="N49" i="5"/>
  <c r="N39" i="5"/>
  <c r="F41" i="5"/>
  <c r="F38" i="5"/>
  <c r="R48" i="5"/>
  <c r="J48" i="5"/>
  <c r="N52" i="5"/>
  <c r="N48" i="5"/>
  <c r="J52" i="5"/>
  <c r="R52" i="5"/>
  <c r="J36" i="5"/>
  <c r="R36" i="5"/>
  <c r="J32" i="5"/>
  <c r="F26" i="5"/>
  <c r="F51" i="5"/>
  <c r="R45" i="5"/>
  <c r="N38" i="5"/>
  <c r="F44" i="5"/>
  <c r="N22" i="5"/>
  <c r="R51" i="5"/>
  <c r="N45" i="5"/>
  <c r="N42" i="5"/>
  <c r="R22" i="5"/>
  <c r="N51" i="5"/>
  <c r="N24" i="5"/>
  <c r="J22" i="5"/>
  <c r="J38" i="5"/>
  <c r="R38" i="5"/>
  <c r="N43" i="5"/>
  <c r="J24" i="5"/>
  <c r="R30" i="5"/>
  <c r="N26" i="5"/>
  <c r="J42" i="5"/>
  <c r="J26" i="5"/>
  <c r="F24" i="5"/>
  <c r="R42" i="5"/>
  <c r="F43" i="5"/>
  <c r="F28" i="5"/>
  <c r="J44" i="5"/>
  <c r="J28" i="5"/>
  <c r="R28" i="5"/>
  <c r="R31" i="5"/>
  <c r="N27" i="5"/>
  <c r="F40" i="5"/>
  <c r="R39" i="5"/>
  <c r="R44" i="5"/>
  <c r="J39" i="5"/>
  <c r="N44" i="5"/>
  <c r="N30" i="5"/>
  <c r="F39" i="5"/>
  <c r="R32" i="5"/>
  <c r="F42" i="5"/>
  <c r="N32" i="5"/>
  <c r="J35" i="5"/>
  <c r="F32" i="5"/>
  <c r="J27" i="5"/>
  <c r="R34" i="5"/>
  <c r="F50" i="5"/>
  <c r="N35" i="5"/>
  <c r="R27" i="5"/>
  <c r="F34" i="5"/>
  <c r="F35" i="5"/>
  <c r="N34" i="5"/>
  <c r="F23" i="5"/>
  <c r="F31" i="5"/>
  <c r="N41" i="5"/>
  <c r="N40" i="5"/>
  <c r="J41" i="5"/>
  <c r="N23" i="5"/>
  <c r="J30" i="5"/>
  <c r="J23" i="5"/>
  <c r="N47" i="5"/>
  <c r="J40" i="5"/>
  <c r="N37" i="5"/>
  <c r="R41" i="5"/>
  <c r="F47" i="5"/>
  <c r="J50" i="5"/>
  <c r="N50" i="5"/>
  <c r="R50" i="5"/>
  <c r="R37" i="5"/>
  <c r="N31" i="5"/>
  <c r="F30" i="5"/>
  <c r="F27" i="5"/>
  <c r="F37" i="5"/>
  <c r="J43" i="5"/>
  <c r="J31" i="5"/>
  <c r="R43" i="5"/>
  <c r="J47" i="5"/>
  <c r="A6" i="5" l="1"/>
  <c r="B6" i="5"/>
  <c r="C6" i="5"/>
  <c r="D6" i="5"/>
  <c r="G6" i="5"/>
  <c r="H6" i="5"/>
  <c r="K6" i="5"/>
  <c r="L6" i="5"/>
  <c r="O6" i="5"/>
  <c r="P6" i="5"/>
  <c r="A7" i="5"/>
  <c r="B7" i="5"/>
  <c r="C7" i="5"/>
  <c r="D7" i="5"/>
  <c r="G7" i="5"/>
  <c r="H7" i="5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I14" i="5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L19" i="5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P5" i="5"/>
  <c r="O5" i="5"/>
  <c r="L5" i="5"/>
  <c r="K5" i="5"/>
  <c r="H5" i="5"/>
  <c r="G5" i="5"/>
  <c r="D5" i="5"/>
  <c r="C5" i="5"/>
  <c r="B5" i="5"/>
  <c r="A5" i="5"/>
  <c r="B2" i="5"/>
  <c r="B1" i="5"/>
  <c r="M6" i="5" l="1"/>
  <c r="Q8" i="5"/>
  <c r="E10" i="5"/>
  <c r="Q6" i="5"/>
  <c r="M19" i="5"/>
  <c r="I7" i="5"/>
  <c r="Q21" i="5"/>
  <c r="I9" i="5"/>
  <c r="E12" i="5"/>
  <c r="M16" i="5"/>
  <c r="I19" i="5"/>
  <c r="M7" i="5"/>
  <c r="E13" i="5"/>
  <c r="Q20" i="5"/>
  <c r="Q18" i="5"/>
  <c r="Q7" i="5"/>
  <c r="I18" i="5"/>
  <c r="E15" i="5"/>
  <c r="Q14" i="5"/>
  <c r="E7" i="5"/>
  <c r="Q17" i="5"/>
  <c r="M20" i="5"/>
  <c r="Q12" i="5"/>
  <c r="I13" i="5"/>
  <c r="E14" i="5"/>
  <c r="E17" i="5"/>
  <c r="M15" i="5"/>
  <c r="I10" i="5"/>
  <c r="E6" i="5"/>
  <c r="M10" i="5"/>
  <c r="E20" i="5"/>
  <c r="I11" i="5"/>
  <c r="E21" i="5"/>
  <c r="Q19" i="5"/>
  <c r="Q13" i="5"/>
  <c r="I12" i="5"/>
  <c r="E9" i="5"/>
  <c r="Q16" i="5"/>
  <c r="E16" i="5"/>
  <c r="I15" i="5"/>
  <c r="I20" i="5"/>
  <c r="M17" i="5"/>
  <c r="E11" i="5"/>
  <c r="M21" i="5"/>
  <c r="Q9" i="5"/>
  <c r="I21" i="5"/>
  <c r="M11" i="5"/>
  <c r="M9" i="5"/>
  <c r="M8" i="5"/>
  <c r="Q10" i="5"/>
  <c r="Q11" i="5"/>
  <c r="E18" i="5"/>
  <c r="I8" i="5"/>
  <c r="M14" i="5"/>
  <c r="Q15" i="5"/>
  <c r="I6" i="5"/>
  <c r="E8" i="5"/>
  <c r="E19" i="5"/>
  <c r="M12" i="5"/>
  <c r="I16" i="5"/>
  <c r="M18" i="5"/>
  <c r="I17" i="5"/>
  <c r="M13" i="5"/>
  <c r="M5" i="5"/>
  <c r="E5" i="5"/>
  <c r="I5" i="5"/>
  <c r="Q5" i="5"/>
  <c r="I58" i="5" l="1"/>
  <c r="Q58" i="5"/>
  <c r="M58" i="5"/>
  <c r="E58" i="5"/>
  <c r="T14" i="5"/>
  <c r="U7" i="5"/>
  <c r="T7" i="5"/>
  <c r="V20" i="5"/>
  <c r="V7" i="5"/>
  <c r="V18" i="5"/>
  <c r="T10" i="5"/>
  <c r="U20" i="5"/>
  <c r="T20" i="5"/>
  <c r="V14" i="5"/>
  <c r="T9" i="5"/>
  <c r="U9" i="5"/>
  <c r="V9" i="5"/>
  <c r="V21" i="5"/>
  <c r="V6" i="5"/>
  <c r="V13" i="5"/>
  <c r="U12" i="5"/>
  <c r="T18" i="5"/>
  <c r="U8" i="5"/>
  <c r="U19" i="5"/>
  <c r="V16" i="5"/>
  <c r="T12" i="5"/>
  <c r="T17" i="5"/>
  <c r="T8" i="5"/>
  <c r="T21" i="5"/>
  <c r="V8" i="5"/>
  <c r="V10" i="5"/>
  <c r="U21" i="5"/>
  <c r="U10" i="5"/>
  <c r="T16" i="5"/>
  <c r="V17" i="5"/>
  <c r="U18" i="5"/>
  <c r="T11" i="5"/>
  <c r="V12" i="5"/>
  <c r="T15" i="5"/>
  <c r="U13" i="5"/>
  <c r="U17" i="5"/>
  <c r="V15" i="5"/>
  <c r="T6" i="5"/>
  <c r="U16" i="5"/>
  <c r="U6" i="5"/>
  <c r="T19" i="5"/>
  <c r="T13" i="5"/>
  <c r="V19" i="5"/>
  <c r="U15" i="5"/>
  <c r="U14" i="5"/>
  <c r="V11" i="5"/>
  <c r="U11" i="5"/>
  <c r="V5" i="5"/>
  <c r="T5" i="5"/>
  <c r="U5" i="5"/>
  <c r="F9" i="5" l="1"/>
  <c r="R9" i="5"/>
  <c r="N9" i="5"/>
  <c r="J9" i="5"/>
  <c r="F7" i="5"/>
  <c r="N7" i="5"/>
  <c r="J7" i="5"/>
  <c r="R7" i="5"/>
  <c r="R18" i="5"/>
  <c r="N18" i="5"/>
  <c r="J18" i="5"/>
  <c r="F17" i="5"/>
  <c r="R17" i="5"/>
  <c r="N17" i="5"/>
  <c r="J17" i="5"/>
  <c r="F12" i="5"/>
  <c r="J12" i="5"/>
  <c r="R12" i="5"/>
  <c r="N12" i="5"/>
  <c r="F20" i="5"/>
  <c r="N20" i="5"/>
  <c r="R20" i="5"/>
  <c r="J20" i="5"/>
  <c r="N13" i="5"/>
  <c r="R13" i="5"/>
  <c r="J13" i="5"/>
  <c r="F10" i="5"/>
  <c r="R10" i="5"/>
  <c r="N10" i="5"/>
  <c r="J10" i="5"/>
  <c r="F14" i="5"/>
  <c r="R14" i="5"/>
  <c r="N14" i="5"/>
  <c r="J14" i="5"/>
  <c r="F21" i="5"/>
  <c r="R21" i="5"/>
  <c r="N21" i="5"/>
  <c r="J21" i="5"/>
  <c r="J5" i="5"/>
  <c r="R5" i="5"/>
  <c r="N5" i="5"/>
  <c r="F8" i="5"/>
  <c r="R8" i="5"/>
  <c r="N8" i="5"/>
  <c r="J8" i="5"/>
  <c r="F11" i="5"/>
  <c r="J11" i="5"/>
  <c r="R11" i="5"/>
  <c r="N11" i="5"/>
  <c r="F6" i="5"/>
  <c r="J6" i="5"/>
  <c r="R6" i="5"/>
  <c r="N6" i="5"/>
  <c r="J19" i="5"/>
  <c r="R19" i="5"/>
  <c r="N19" i="5"/>
  <c r="F15" i="5"/>
  <c r="R15" i="5"/>
  <c r="N15" i="5"/>
  <c r="J15" i="5"/>
  <c r="F16" i="5"/>
  <c r="R16" i="5"/>
  <c r="N16" i="5"/>
  <c r="J16" i="5"/>
  <c r="F5" i="5"/>
  <c r="F13" i="5"/>
  <c r="F19" i="5"/>
  <c r="F18" i="5"/>
  <c r="M56" i="5" l="1"/>
  <c r="M55" i="5"/>
  <c r="E56" i="5"/>
  <c r="E55" i="5"/>
  <c r="Q56" i="5"/>
  <c r="Q55" i="5"/>
  <c r="I56" i="5"/>
  <c r="I55" i="5"/>
  <c r="B56" i="5" l="1"/>
  <c r="B5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<sst xmlns="http://schemas.openxmlformats.org/spreadsheetml/2006/main" count="1531" uniqueCount="99">
  <si>
    <t>IN</t>
  </si>
  <si>
    <t>OUT</t>
  </si>
  <si>
    <t>fhir_9.2.0_2_hl7_9.2.0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</si>
  <si>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</si>
  <si>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</si>
  <si>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</si>
  <si>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</si>
  <si>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</si>
  <si>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</si>
  <si>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</si>
  <si>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</si>
  <si>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</si>
  <si>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</si>
  <si>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</si>
  <si>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</si>
  <si>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</si>
  <si>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</si>
  <si>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</si>
  <si>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</si>
  <si>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</si>
  <si>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</si>
  <si>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</si>
  <si>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</si>
  <si>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</si>
  <si>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</si>
  <si>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</si>
  <si>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</si>
  <si>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</si>
  <si>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</si>
  <si>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</si>
  <si>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</si>
  <si>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</si>
  <si>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</si>
  <si>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</si>
  <si>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</si>
  <si>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</si>
  <si>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</si>
  <si>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</si>
  <si>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</si>
  <si>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</si>
  <si>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</si>
  <si>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</si>
  <si>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</si>
  <si>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</si>
  <si>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</si>
  <si>
    <t>mv-mp-vo-tst-1-1-ingangsdatum-einddatum-v20.xml</t>
  </si>
  <si>
    <t>sturen_medicatievoorschrift</t>
  </si>
  <si>
    <t>mv-mp-vo-tst-1-2a-ingangdatum-duur-weken-v20.xml</t>
  </si>
  <si>
    <t>mv-mp-vo-tst-1-2b-ingangsdatum-duur-dagen-v20.xml</t>
  </si>
  <si>
    <t>mv-mp-vo-tst-1-3-chronische-medicatie-v20.xml</t>
  </si>
  <si>
    <t>mv-mp-vo-tst-1-4-extra-vv-bestaande-ma-v20.xml</t>
  </si>
  <si>
    <t>mv-mp-vo-tst-1-5-eenheid-dosis-stuks-v20.xml</t>
  </si>
  <si>
    <t>mv-mp-vo-tst-10-1-hpk-v20.xml</t>
  </si>
  <si>
    <t>mv-mp-vo-tst-10-2-zi-nummer-v20.xml</t>
  </si>
  <si>
    <t>mv-mp-vo-tst-11-1-externdoseerschema-v20.xml</t>
  </si>
  <si>
    <t>mv-mp-vo-tst-13-1-contact-episode-v20.xml</t>
  </si>
  <si>
    <t>mv-mp-vo-tst-2-1-aanvullendeinstructie-v20.xml</t>
  </si>
  <si>
    <t>mv-mp-vo-tst-2-2-toelichting-v20.xml</t>
  </si>
  <si>
    <t>mv-mp-vo-tst-2-3-redenvanvoorschrijven-v20.xml</t>
  </si>
  <si>
    <t>mv-mp-vo-tst-2-4-aanvullendeinformatiewensen-v20.xml</t>
  </si>
  <si>
    <t>mv-mp-vo-tst-2-5-toedieningsweg-v20.xml</t>
  </si>
  <si>
    <t>mv-mp-vo-tst-3-1a-stoppen-v20.xml</t>
  </si>
  <si>
    <t>mv-mp-vo-tst-3-1b-stoppen-v20.xml</t>
  </si>
  <si>
    <t>mv-mp-vo-tst-3-2a-wijzigen-verhoging-v20.xml</t>
  </si>
  <si>
    <t>mv-mp-vo-tst-3-2b-wijzigen-verhoging-v20.xml</t>
  </si>
  <si>
    <t>mv-mp-vo-tst-3-3a-wijzigen-verlaging-v20.xml</t>
  </si>
  <si>
    <t>mv-mp-vo-tst-3-3b-wijzigen-verlaging-v20.xml</t>
  </si>
  <si>
    <t>mv-mp-vo-tst-3-4a-onderbreken-v20.xml</t>
  </si>
  <si>
    <t>mv-mp-vo-tst-3-4b-onderbreken-v20.xml</t>
  </si>
  <si>
    <t>mv-mp-vo-tst-3-5-wijzigenTA-v20.xml</t>
  </si>
  <si>
    <t>mv-mp-vo-tst-4-1-a-lengte-gewicht-v20.xml</t>
  </si>
  <si>
    <t>mv-mp-vo-tst-4-1-b-lengte-gewicht-persistent-v20.xml</t>
  </si>
  <si>
    <t>mv-mp-vo-tst-4-2-a-nierfunctie-NHG-v20.xml</t>
  </si>
  <si>
    <t>mv-mp-vo-tst-4-2-b-nierfunctie-loinc-zonder-panel-v20.xml</t>
  </si>
  <si>
    <t>mv-mp-vo-tst-6-1-variabele-frequentie-v20.xml</t>
  </si>
  <si>
    <t>mv-mp-vo-tst-6-10-cyclisch-schema-v20.xml</t>
  </si>
  <si>
    <t>mv-mp-vo-tst-6-11-afbouwschema-v20.xml</t>
  </si>
  <si>
    <t>mv-mp-vo-tst-6-12-variabele-hoeveelheid-en-maximum-v20.xml</t>
  </si>
  <si>
    <t>mv-mp-vo-tst-6-13-toedieningssnelheid-v20.xml</t>
  </si>
  <si>
    <t>mv-mp-vo-tst-6-14-toedieningsduur-v20.xml</t>
  </si>
  <si>
    <t>mv-mp-vo-tst-6-15-zonodig-v20.xml</t>
  </si>
  <si>
    <t>mv-mp-vo-tst-6-2-interval-v20.xml</t>
  </si>
  <si>
    <t>mv-mp-vo-tst-6-3-variabele-hoeveelheid-v20.xml</t>
  </si>
  <si>
    <t>mv-mp-vo-tst-6-4-zonder-keerdosis-v20.xml</t>
  </si>
  <si>
    <t>mv-mp-vo-tst-6-5-bijzondere-keerdosis-v20.xml</t>
  </si>
  <si>
    <t>mv-mp-vo-tst-6-6-variabele-hoeveelheid-2-v20.xml</t>
  </si>
  <si>
    <t>mv-mp-vo-tst-6-7a-tijdstippen-flexibel-v20.xml</t>
  </si>
  <si>
    <t>mv-mp-vo-tst-6-7b-tijdstippen-niet-flexibel-v20.xml</t>
  </si>
  <si>
    <t>mv-mp-vo-tst-6-8-weekdagen-v20.xml</t>
  </si>
  <si>
    <t>mv-mp-vo-tst-6-9-dagdeel-v20.xml</t>
  </si>
  <si>
    <t>mv-mp-vo-tst-7-1-alle-ingredienten-v20.xml</t>
  </si>
  <si>
    <t>mv-mp-vo-tst-7-2-actief-ingredient-v20.xml</t>
  </si>
  <si>
    <t>mv-mp-vo-tst-7-3-90-miljoen-nummer-v20.xml</t>
  </si>
  <si>
    <t>mv-mp-vo-tst-9-1a-verbruiksperiode-start-eind-v20.xml</t>
  </si>
  <si>
    <t>mv-mp-vo-tst-9-1b-verbruiksperiode-einddatum-v20.xml</t>
  </si>
  <si>
    <t>mv-mp-vo-tst-9-1c-verbruiksperiode-duur-v20.xml</t>
  </si>
  <si>
    <t>mv-mp-vo-tst-9-2-herhalingen-v20.xml</t>
  </si>
  <si>
    <t>mv-mp-vo-tst-9-3-afleverlocatie-v20.xml</t>
  </si>
  <si>
    <t>mv-mp-vo-tst-9-4-financiele-indicatiecode-v20.xml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</si>
</sst>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62"/>
  <sheetViews>
    <sheetView tabSelected="1" workbookViewId="0">
      <selection activeCell="A51" sqref="A51:V52"/>
    </sheetView>
  </sheetViews>
  <sheetFormatPr baseColWidth="10" defaultRowHeight="16" x14ac:dyDescent="0.2"/>
  <cols>
    <col min="1" max="1" width="38.1640625" bestFit="1" customWidth="1"/>
    <col min="2" max="2" width="38.1640625" customWidth="1"/>
    <col min="3" max="3" width="12.83203125" bestFit="1" customWidth="1"/>
    <col min="5" max="5" width="10.83203125" style="2"/>
    <col min="6" max="6" width="4.5" style="2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26</v>
      </c>
      <c r="B1" t="str">
        <f>'9.7.0.18'!I1</f>
        <v>sturen_medicatievoorschrift</v>
      </c>
    </row>
    <row r="2" spans="1:22" x14ac:dyDescent="0.2">
      <c r="A2" t="s">
        <v>27</v>
      </c>
      <c r="B2" t="str">
        <f>'9.7.0.18'!J1</f>
        <v>fhir_9.2.0_2_hl7_9.2.0</v>
      </c>
    </row>
    <row r="3" spans="1:22" x14ac:dyDescent="0.2">
      <c r="C3" t="s">
        <v>4</v>
      </c>
      <c r="G3" t="s">
        <v>25</v>
      </c>
      <c r="K3" t="s">
        <v>8</v>
      </c>
      <c r="O3" t="s">
        <v>9</v>
      </c>
    </row>
    <row r="4" spans="1:22" x14ac:dyDescent="0.2">
      <c r="A4" t="s">
        <v>3</v>
      </c>
      <c r="B4" t="s">
        <v>34</v>
      </c>
      <c r="C4" t="s">
        <v>5</v>
      </c>
      <c r="D4" t="s">
        <v>6</v>
      </c>
      <c r="E4" s="2" t="s">
        <v>7</v>
      </c>
      <c r="G4" t="s">
        <v>5</v>
      </c>
      <c r="H4" t="s">
        <v>6</v>
      </c>
      <c r="I4" s="2" t="s">
        <v>7</v>
      </c>
      <c r="K4" t="s">
        <v>5</v>
      </c>
      <c r="L4" t="s">
        <v>6</v>
      </c>
      <c r="M4" s="2" t="s">
        <v>7</v>
      </c>
      <c r="O4" t="s">
        <v>5</v>
      </c>
      <c r="P4" t="s">
        <v>6</v>
      </c>
      <c r="Q4" s="2" t="s">
        <v>7</v>
      </c>
      <c r="T4" s="2" t="s">
        <v>11</v>
      </c>
      <c r="U4" s="2" t="s">
        <v>12</v>
      </c>
      <c r="V4" s="2" t="s">
        <v>10</v>
      </c>
    </row>
    <row r="5" spans="1:22" x14ac:dyDescent="0.2">
      <c r="A5" t="str">
        <f>'9.7.0.18'!$H1</f>
        <v>mv-mp-vo-tst-1-1-ingangsdatum-einddatum-v20.xml</v>
      </c>
      <c r="B5" s="5">
        <f>'9.7.0.18'!$C1</f>
        <v>17290</v>
      </c>
      <c r="C5" s="1">
        <f>'9.7.0.18'!$E1</f>
        <v>40.227325999999998</v>
      </c>
      <c r="D5" s="1">
        <f>'9.7.0.18'!$G1</f>
        <v>9.445748</v>
      </c>
      <c r="E5" s="3">
        <f t="shared" ref="E5" si="0">C5+D5</f>
        <v>49.673074</v>
      </c>
      <c r="F5" s="3" t="str">
        <f>IF(E5=$T5,"L",IF(E5=$U5,"H",""))</f>
        <v>H</v>
      </c>
      <c r="G5" s="1">
        <f>'9.8.0.15'!$E1</f>
        <v>33.607239999999997</v>
      </c>
      <c r="H5" s="1">
        <f>'9.8.0.15'!$G1</f>
        <v>10.276159</v>
      </c>
      <c r="I5" s="3">
        <f t="shared" ref="I5" si="1">G5+H5</f>
        <v>43.883398999999997</v>
      </c>
      <c r="J5" s="3" t="str">
        <f>IF(I5=$T5,"L",IF(I5=$U5,"H",""))</f>
        <v>L</v>
      </c>
      <c r="K5" s="1">
        <f>'9.9.1.8'!$E1</f>
        <v>34.442914000000002</v>
      </c>
      <c r="L5" s="1">
        <f>'9.9.1.8'!$G1</f>
        <v>9.5229499999999998</v>
      </c>
      <c r="M5" s="3">
        <f t="shared" ref="M5" si="2">K5+L5</f>
        <v>43.965864000000003</v>
      </c>
      <c r="N5" s="3" t="str">
        <f>IF(M5=$T5,"L",IF(M5=$U5,"H",""))</f>
        <v/>
      </c>
      <c r="O5" s="1">
        <f>'11.4'!$E1</f>
        <v>34.268974</v>
      </c>
      <c r="P5" s="1">
        <f>'11.4'!$G1</f>
        <v>9.8093529999999998</v>
      </c>
      <c r="Q5" s="3">
        <f t="shared" ref="Q5" si="3">O5+P5</f>
        <v>44.078327000000002</v>
      </c>
      <c r="R5" s="3" t="str">
        <f>IF(Q5=$T5,"L",IF(Q5=$U5,"H",""))</f>
        <v/>
      </c>
      <c r="T5" s="1">
        <f>MIN($E5,$I5,$M5,$Q5)</f>
        <v>43.883398999999997</v>
      </c>
      <c r="U5" s="1">
        <f>MAX($E5,$I5,$M5,$Q5)</f>
        <v>49.673074</v>
      </c>
      <c r="V5" s="1">
        <f>AVERAGE($E5,$I5,$M5,$Q5)</f>
        <v>45.400165999999999</v>
      </c>
    </row>
    <row r="6" spans="1:22" x14ac:dyDescent="0.2">
      <c r="A6" t="str">
        <f>'9.7.0.18'!$H2</f>
        <v>mv-mp-vo-tst-1-2a-ingangdatum-duur-weken-v20.xml</v>
      </c>
      <c r="B6" s="5">
        <f>'9.7.0.18'!$C2</f>
        <v>18696</v>
      </c>
      <c r="C6" s="1">
        <f>'9.7.0.18'!$E2</f>
        <v>37.623226000000003</v>
      </c>
      <c r="D6" s="1">
        <f>'9.7.0.18'!$G2</f>
        <v>9.3155579999999993</v>
      </c>
      <c r="E6" s="3">
        <f t="shared" ref="E6:E21" si="4">C6+D6</f>
        <v>46.938783999999998</v>
      </c>
      <c r="F6" s="3" t="str">
        <f>IF(E6=$T6,"L",IF(E6=$U6,"H",""))</f>
        <v/>
      </c>
      <c r="G6" s="1">
        <f>'9.8.0.15'!$E2</f>
        <v>37.462902999999997</v>
      </c>
      <c r="H6" s="1">
        <f>'9.8.0.15'!$G2</f>
        <v>8.9838070000000005</v>
      </c>
      <c r="I6" s="3">
        <f t="shared" ref="I6:I21" si="5">G6+H6</f>
        <v>46.446709999999996</v>
      </c>
      <c r="J6" s="3" t="str">
        <f t="shared" ref="J6:J52" si="6">IF(I6=$T6,"L",IF(I6=$U6,"H",""))</f>
        <v/>
      </c>
      <c r="K6" s="1">
        <f>'9.9.1.8'!$E2</f>
        <v>37.108668999999999</v>
      </c>
      <c r="L6" s="1">
        <f>'9.9.1.8'!$G2</f>
        <v>8.5985820000000004</v>
      </c>
      <c r="M6" s="3">
        <f t="shared" ref="M6:M21" si="7">K6+L6</f>
        <v>45.707250999999999</v>
      </c>
      <c r="N6" s="3" t="str">
        <f t="shared" ref="N6:N52" si="8">IF(M6=$T6,"L",IF(M6=$U6,"H",""))</f>
        <v>L</v>
      </c>
      <c r="O6" s="1">
        <f>'11.4'!$E2</f>
        <v>47.635308999999999</v>
      </c>
      <c r="P6" s="1">
        <f>'11.4'!$G2</f>
        <v>9.2466380000000008</v>
      </c>
      <c r="Q6" s="3">
        <f t="shared" ref="Q6:Q21" si="9">O6+P6</f>
        <v>56.881946999999997</v>
      </c>
      <c r="R6" s="3" t="str">
        <f t="shared" ref="R6:R52" si="10">IF(Q6=$T6,"L",IF(Q6=$U6,"H",""))</f>
        <v>H</v>
      </c>
      <c r="T6" s="1">
        <f>MIN($E6,$I6,$M6,$Q6)</f>
        <v>45.707250999999999</v>
      </c>
      <c r="U6" s="1">
        <f>MAX($E6,$I6,$M6,$Q6)</f>
        <v>56.881946999999997</v>
      </c>
      <c r="V6" s="1">
        <f>AVERAGE($E6,$I6,$M6,$Q6)</f>
        <v>48.993672999999994</v>
      </c>
    </row>
    <row r="7" spans="1:22" x14ac:dyDescent="0.2">
      <c r="A7" t="str">
        <f>'9.7.0.18'!$H3</f>
        <v>mv-mp-vo-tst-1-2b-ingangsdatum-duur-dagen-v20.xml</v>
      </c>
      <c r="B7" s="5">
        <f>'9.7.0.18'!$C3</f>
        <v>17421</v>
      </c>
      <c r="C7" s="1">
        <f>'9.7.0.18'!$E3</f>
        <v>34.141401999999999</v>
      </c>
      <c r="D7" s="1">
        <f>'9.7.0.18'!$G3</f>
        <v>9.0183409999999995</v>
      </c>
      <c r="E7" s="3">
        <f t="shared" si="4"/>
        <v>43.159742999999999</v>
      </c>
      <c r="F7" s="3" t="str">
        <f>IF(E7=$T7,"L",IF(E7=$U7,"H",""))</f>
        <v/>
      </c>
      <c r="G7" s="1">
        <f>'9.8.0.15'!$E3</f>
        <v>34.535871999999998</v>
      </c>
      <c r="H7" s="1">
        <f>'9.8.0.15'!$G3</f>
        <v>8.8277999999999999</v>
      </c>
      <c r="I7" s="3">
        <f t="shared" si="5"/>
        <v>43.363671999999994</v>
      </c>
      <c r="J7" s="3" t="str">
        <f t="shared" si="6"/>
        <v/>
      </c>
      <c r="K7" s="1">
        <f>'9.9.1.8'!$E3</f>
        <v>32.030678000000002</v>
      </c>
      <c r="L7" s="1">
        <f>'9.9.1.8'!$G3</f>
        <v>8.1893449999999994</v>
      </c>
      <c r="M7" s="3">
        <f t="shared" si="7"/>
        <v>40.220022999999998</v>
      </c>
      <c r="N7" s="3" t="str">
        <f t="shared" si="8"/>
        <v>L</v>
      </c>
      <c r="O7" s="1">
        <f>'11.4'!$E3</f>
        <v>37.357489999999999</v>
      </c>
      <c r="P7" s="1">
        <f>'11.4'!$G3</f>
        <v>9.4007369999999995</v>
      </c>
      <c r="Q7" s="3">
        <f t="shared" si="9"/>
        <v>46.758226999999998</v>
      </c>
      <c r="R7" s="3" t="str">
        <f t="shared" si="10"/>
        <v>H</v>
      </c>
      <c r="T7" s="1">
        <f>MIN($E7,$I7,$M7,$Q7)</f>
        <v>40.220022999999998</v>
      </c>
      <c r="U7" s="1">
        <f>MAX($E7,$I7,$M7,$Q7)</f>
        <v>46.758226999999998</v>
      </c>
      <c r="V7" s="1">
        <f>AVERAGE($E7,$I7,$M7,$Q7)</f>
        <v>43.375416250000001</v>
      </c>
    </row>
    <row r="8" spans="1:22" x14ac:dyDescent="0.2">
      <c r="A8" t="str">
        <f>'9.7.0.18'!$H4</f>
        <v>mv-mp-vo-tst-1-3-chronische-medicatie-v20.xml</v>
      </c>
      <c r="B8" s="5">
        <f>'9.7.0.18'!$C4</f>
        <v>17087</v>
      </c>
      <c r="C8" s="1">
        <f>'9.7.0.18'!$E4</f>
        <v>33.955573000000001</v>
      </c>
      <c r="D8" s="1">
        <f>'9.7.0.18'!$G4</f>
        <v>8.7902819999999995</v>
      </c>
      <c r="E8" s="3">
        <f t="shared" si="4"/>
        <v>42.745854999999999</v>
      </c>
      <c r="F8" s="3" t="str">
        <f>IF(E8=$T8,"L",IF(E8=$U8,"H",""))</f>
        <v/>
      </c>
      <c r="G8" s="1">
        <f>'9.8.0.15'!$E4</f>
        <v>33.795681999999999</v>
      </c>
      <c r="H8" s="1">
        <f>'9.8.0.15'!$G4</f>
        <v>9.9613270000000007</v>
      </c>
      <c r="I8" s="3">
        <f t="shared" si="5"/>
        <v>43.757008999999996</v>
      </c>
      <c r="J8" s="3" t="str">
        <f t="shared" si="6"/>
        <v/>
      </c>
      <c r="K8" s="1">
        <f>'9.9.1.8'!$E4</f>
        <v>33.710890999999997</v>
      </c>
      <c r="L8" s="1">
        <f>'9.9.1.8'!$G4</f>
        <v>8.7691730000000003</v>
      </c>
      <c r="M8" s="3">
        <f t="shared" si="7"/>
        <v>42.480063999999999</v>
      </c>
      <c r="N8" s="3" t="str">
        <f t="shared" si="8"/>
        <v>L</v>
      </c>
      <c r="O8" s="1">
        <f>'11.4'!$E4</f>
        <v>37.224707000000002</v>
      </c>
      <c r="P8" s="1">
        <f>'11.4'!$G4</f>
        <v>9.2095029999999998</v>
      </c>
      <c r="Q8" s="3">
        <f t="shared" si="9"/>
        <v>46.43421</v>
      </c>
      <c r="R8" s="3" t="str">
        <f t="shared" si="10"/>
        <v>H</v>
      </c>
      <c r="T8" s="1">
        <f>MIN($E8,$I8,$M8,$Q8)</f>
        <v>42.480063999999999</v>
      </c>
      <c r="U8" s="1">
        <f>MAX($E8,$I8,$M8,$Q8)</f>
        <v>46.43421</v>
      </c>
      <c r="V8" s="1">
        <f>AVERAGE($E8,$I8,$M8,$Q8)</f>
        <v>43.854284499999999</v>
      </c>
    </row>
    <row r="9" spans="1:22" x14ac:dyDescent="0.2">
      <c r="A9" t="str">
        <f>'9.7.0.18'!$H5</f>
        <v>mv-mp-vo-tst-1-4-extra-vv-bestaande-ma-v20.xml</v>
      </c>
      <c r="B9" s="5">
        <f>'9.7.0.18'!$C5</f>
        <v>17138</v>
      </c>
      <c r="C9" s="1">
        <f>'9.7.0.18'!$E5</f>
        <v>33.043384000000003</v>
      </c>
      <c r="D9" s="1">
        <f>'9.7.0.18'!$G5</f>
        <v>8.7756900000000009</v>
      </c>
      <c r="E9" s="3">
        <f t="shared" si="4"/>
        <v>41.819074000000001</v>
      </c>
      <c r="F9" s="3" t="str">
        <f>IF(E9=$T9,"L",IF(E9=$U9,"H",""))</f>
        <v>L</v>
      </c>
      <c r="G9" s="1">
        <f>'9.8.0.15'!$E5</f>
        <v>33.674636999999997</v>
      </c>
      <c r="H9" s="1">
        <f>'9.8.0.15'!$G5</f>
        <v>8.7922930000000008</v>
      </c>
      <c r="I9" s="3">
        <f t="shared" si="5"/>
        <v>42.466929999999998</v>
      </c>
      <c r="J9" s="3" t="str">
        <f t="shared" si="6"/>
        <v/>
      </c>
      <c r="K9" s="1">
        <f>'9.9.1.8'!$E5</f>
        <v>33.00347</v>
      </c>
      <c r="L9" s="1">
        <f>'9.9.1.8'!$G5</f>
        <v>9.5034919999999996</v>
      </c>
      <c r="M9" s="3">
        <f t="shared" si="7"/>
        <v>42.506962000000001</v>
      </c>
      <c r="N9" s="3" t="str">
        <f t="shared" si="8"/>
        <v/>
      </c>
      <c r="O9" s="1">
        <f>'11.4'!$E5</f>
        <v>36.312556999999998</v>
      </c>
      <c r="P9" s="1">
        <f>'11.4'!$G5</f>
        <v>9.0030809999999999</v>
      </c>
      <c r="Q9" s="3">
        <f t="shared" si="9"/>
        <v>45.315638</v>
      </c>
      <c r="R9" s="3" t="str">
        <f t="shared" si="10"/>
        <v>H</v>
      </c>
      <c r="T9" s="1">
        <f>MIN($E9,$I9,$M9,$Q9)</f>
        <v>41.819074000000001</v>
      </c>
      <c r="U9" s="1">
        <f>MAX($E9,$I9,$M9,$Q9)</f>
        <v>45.315638</v>
      </c>
      <c r="V9" s="1">
        <f>AVERAGE($E9,$I9,$M9,$Q9)</f>
        <v>43.027150999999996</v>
      </c>
    </row>
    <row r="10" spans="1:22" x14ac:dyDescent="0.2">
      <c r="A10" t="str">
        <f>'9.7.0.18'!$H6</f>
        <v>mv-mp-vo-tst-1-5-eenheid-dosis-stuks-v20.xml</v>
      </c>
      <c r="B10" s="5">
        <f>'9.7.0.18'!$C6</f>
        <v>17177</v>
      </c>
      <c r="C10" s="1">
        <f>'9.7.0.18'!$E6</f>
        <v>32.809362999999998</v>
      </c>
      <c r="D10" s="1">
        <f>'9.7.0.18'!$G6</f>
        <v>9.1675339999999998</v>
      </c>
      <c r="E10" s="3">
        <f t="shared" si="4"/>
        <v>41.976896999999994</v>
      </c>
      <c r="F10" s="3" t="str">
        <f>IF(E10=$T10,"L",IF(E10=$U10,"H",""))</f>
        <v>L</v>
      </c>
      <c r="G10" s="1">
        <f>'9.8.0.15'!$E6</f>
        <v>34.837682000000001</v>
      </c>
      <c r="H10" s="1">
        <f>'9.8.0.15'!$G6</f>
        <v>9.2980079999999994</v>
      </c>
      <c r="I10" s="3">
        <f t="shared" si="5"/>
        <v>44.135689999999997</v>
      </c>
      <c r="J10" s="3" t="str">
        <f t="shared" si="6"/>
        <v/>
      </c>
      <c r="K10" s="1">
        <f>'9.9.1.8'!$E6</f>
        <v>34.509731000000002</v>
      </c>
      <c r="L10" s="1">
        <f>'9.9.1.8'!$G6</f>
        <v>9.8979929999999996</v>
      </c>
      <c r="M10" s="3">
        <f t="shared" si="7"/>
        <v>44.407724000000002</v>
      </c>
      <c r="N10" s="3" t="str">
        <f t="shared" si="8"/>
        <v/>
      </c>
      <c r="O10" s="1">
        <f>'11.4'!$E6</f>
        <v>34.884391999999998</v>
      </c>
      <c r="P10" s="1">
        <f>'11.4'!$G6</f>
        <v>9.8680299999999992</v>
      </c>
      <c r="Q10" s="3">
        <f t="shared" si="9"/>
        <v>44.752421999999996</v>
      </c>
      <c r="R10" s="3" t="str">
        <f t="shared" si="10"/>
        <v>H</v>
      </c>
      <c r="T10" s="1">
        <f>MIN($E10,$I10,$M10,$Q10)</f>
        <v>41.976896999999994</v>
      </c>
      <c r="U10" s="1">
        <f>MAX($E10,$I10,$M10,$Q10)</f>
        <v>44.752421999999996</v>
      </c>
      <c r="V10" s="1">
        <f>AVERAGE($E10,$I10,$M10,$Q10)</f>
        <v>43.818183249999997</v>
      </c>
    </row>
    <row r="11" spans="1:22" x14ac:dyDescent="0.2">
      <c r="A11" t="str">
        <f>'9.7.0.18'!$H7</f>
        <v>mv-mp-vo-tst-10-1-hpk-v20.xml</v>
      </c>
      <c r="B11" s="5">
        <f>'9.7.0.18'!$C7</f>
        <v>17349</v>
      </c>
      <c r="C11" s="1">
        <f>'9.7.0.18'!$E7</f>
        <v>33.818461999999997</v>
      </c>
      <c r="D11" s="1">
        <f>'9.7.0.18'!$G7</f>
        <v>9.589696</v>
      </c>
      <c r="E11" s="3">
        <f t="shared" si="4"/>
        <v>43.408158</v>
      </c>
      <c r="F11" s="3" t="str">
        <f>IF(E11=$T11,"L",IF(E11=$U11,"H",""))</f>
        <v>L</v>
      </c>
      <c r="G11" s="1">
        <f>'9.8.0.15'!$E7</f>
        <v>39.371636000000002</v>
      </c>
      <c r="H11" s="1">
        <f>'9.8.0.15'!$G7</f>
        <v>9.2567660000000007</v>
      </c>
      <c r="I11" s="3">
        <f t="shared" si="5"/>
        <v>48.628402000000001</v>
      </c>
      <c r="J11" s="3" t="str">
        <f t="shared" si="6"/>
        <v>H</v>
      </c>
      <c r="K11" s="1">
        <f>'9.9.1.8'!$E7</f>
        <v>34.345582</v>
      </c>
      <c r="L11" s="1">
        <f>'9.9.1.8'!$G7</f>
        <v>9.9778210000000005</v>
      </c>
      <c r="M11" s="3">
        <f t="shared" si="7"/>
        <v>44.323402999999999</v>
      </c>
      <c r="N11" s="3" t="str">
        <f t="shared" si="8"/>
        <v/>
      </c>
      <c r="O11" s="1">
        <f>'11.4'!$E7</f>
        <v>34.910235</v>
      </c>
      <c r="P11" s="1">
        <f>'11.4'!$G7</f>
        <v>9.8998340000000002</v>
      </c>
      <c r="Q11" s="3">
        <f t="shared" si="9"/>
        <v>44.810068999999999</v>
      </c>
      <c r="R11" s="3" t="str">
        <f t="shared" si="10"/>
        <v/>
      </c>
      <c r="T11" s="1">
        <f>MIN($E11,$I11,$M11,$Q11)</f>
        <v>43.408158</v>
      </c>
      <c r="U11" s="1">
        <f>MAX($E11,$I11,$M11,$Q11)</f>
        <v>48.628402000000001</v>
      </c>
      <c r="V11" s="1">
        <f>AVERAGE($E11,$I11,$M11,$Q11)</f>
        <v>45.292507999999998</v>
      </c>
    </row>
    <row r="12" spans="1:22" x14ac:dyDescent="0.2">
      <c r="A12" t="str">
        <f>'9.7.0.18'!$H8</f>
        <v>mv-mp-vo-tst-10-2-zi-nummer-v20.xml</v>
      </c>
      <c r="B12" s="5">
        <f>'9.7.0.18'!$C8</f>
        <v>17605</v>
      </c>
      <c r="C12" s="1">
        <f>'9.7.0.18'!$E8</f>
        <v>34.956161999999999</v>
      </c>
      <c r="D12" s="1">
        <f>'9.7.0.18'!$G8</f>
        <v>9.7898990000000001</v>
      </c>
      <c r="E12" s="3">
        <f t="shared" si="4"/>
        <v>44.746060999999997</v>
      </c>
      <c r="F12" s="3" t="str">
        <f>IF(E12=$T12,"L",IF(E12=$U12,"H",""))</f>
        <v/>
      </c>
      <c r="G12" s="1">
        <f>'9.8.0.15'!$E8</f>
        <v>36.903396000000001</v>
      </c>
      <c r="H12" s="1">
        <f>'9.8.0.15'!$G8</f>
        <v>9.8603319999999997</v>
      </c>
      <c r="I12" s="3">
        <f t="shared" si="5"/>
        <v>46.763728</v>
      </c>
      <c r="J12" s="3" t="str">
        <f t="shared" si="6"/>
        <v>H</v>
      </c>
      <c r="K12" s="1">
        <f>'9.9.1.8'!$E8</f>
        <v>34.210996999999999</v>
      </c>
      <c r="L12" s="1">
        <f>'9.9.1.8'!$G8</f>
        <v>9.4254680000000004</v>
      </c>
      <c r="M12" s="3">
        <f t="shared" si="7"/>
        <v>43.636465000000001</v>
      </c>
      <c r="N12" s="3" t="str">
        <f t="shared" si="8"/>
        <v>L</v>
      </c>
      <c r="O12" s="1">
        <f>'11.4'!$E8</f>
        <v>36.560563000000002</v>
      </c>
      <c r="P12" s="1">
        <f>'11.4'!$G8</f>
        <v>9.9435459999999996</v>
      </c>
      <c r="Q12" s="3">
        <f t="shared" si="9"/>
        <v>46.504109</v>
      </c>
      <c r="R12" s="3" t="str">
        <f t="shared" si="10"/>
        <v/>
      </c>
      <c r="T12" s="1">
        <f>MIN($E12,$I12,$M12,$Q12)</f>
        <v>43.636465000000001</v>
      </c>
      <c r="U12" s="1">
        <f>MAX($E12,$I12,$M12,$Q12)</f>
        <v>46.763728</v>
      </c>
      <c r="V12" s="1">
        <f>AVERAGE($E12,$I12,$M12,$Q12)</f>
        <v>45.41259075</v>
      </c>
    </row>
    <row r="13" spans="1:22" x14ac:dyDescent="0.2">
      <c r="A13" t="str">
        <f>'9.7.0.18'!$H9</f>
        <v>mv-mp-vo-tst-11-1-externdoseerschema-v20.xml</v>
      </c>
      <c r="B13" s="5">
        <f>'9.7.0.18'!$C9</f>
        <v>16351</v>
      </c>
      <c r="C13" s="1">
        <f>'9.7.0.18'!$E9</f>
        <v>33.980763000000003</v>
      </c>
      <c r="D13" s="1">
        <f>'9.7.0.18'!$G9</f>
        <v>9.2325119999999998</v>
      </c>
      <c r="E13" s="3">
        <f t="shared" si="4"/>
        <v>43.213275000000003</v>
      </c>
      <c r="F13" s="3" t="str">
        <f>IF(E13=$T13,"L",IF(E13=$U13,"H",""))</f>
        <v>L</v>
      </c>
      <c r="G13" s="1">
        <f>'9.8.0.15'!$E9</f>
        <v>40.029480999999997</v>
      </c>
      <c r="H13" s="1">
        <f>'9.8.0.15'!$G9</f>
        <v>8.4730969999999992</v>
      </c>
      <c r="I13" s="3">
        <f t="shared" si="5"/>
        <v>48.502578</v>
      </c>
      <c r="J13" s="3" t="str">
        <f t="shared" si="6"/>
        <v>H</v>
      </c>
      <c r="K13" s="1">
        <f>'9.9.1.8'!$E9</f>
        <v>34.708677000000002</v>
      </c>
      <c r="L13" s="1">
        <f>'9.9.1.8'!$G9</f>
        <v>8.6416979999999999</v>
      </c>
      <c r="M13" s="3">
        <f t="shared" si="7"/>
        <v>43.350375</v>
      </c>
      <c r="N13" s="3" t="str">
        <f t="shared" si="8"/>
        <v/>
      </c>
      <c r="O13" s="1">
        <f>'11.4'!$E9</f>
        <v>35.860705000000003</v>
      </c>
      <c r="P13" s="1">
        <f>'11.4'!$G9</f>
        <v>9.2859610000000004</v>
      </c>
      <c r="Q13" s="3">
        <f t="shared" si="9"/>
        <v>45.146666000000003</v>
      </c>
      <c r="R13" s="3" t="str">
        <f t="shared" si="10"/>
        <v/>
      </c>
      <c r="T13" s="1">
        <f>MIN($E13,$I13,$M13,$Q13)</f>
        <v>43.213275000000003</v>
      </c>
      <c r="U13" s="1">
        <f>MAX($E13,$I13,$M13,$Q13)</f>
        <v>48.502578</v>
      </c>
      <c r="V13" s="1">
        <f>AVERAGE($E13,$I13,$M13,$Q13)</f>
        <v>45.053223500000009</v>
      </c>
    </row>
    <row r="14" spans="1:22" x14ac:dyDescent="0.2">
      <c r="A14" t="str">
        <f>'9.7.0.18'!$H10</f>
        <v>mv-mp-vo-tst-13-1-contact-episode-v20.xml</v>
      </c>
      <c r="B14" s="5">
        <f>'9.7.0.18'!$C10</f>
        <v>19184</v>
      </c>
      <c r="C14" s="1">
        <f>'9.7.0.18'!$E10</f>
        <v>34.07179</v>
      </c>
      <c r="D14" s="1">
        <f>'9.7.0.18'!$G10</f>
        <v>9.5991669999999996</v>
      </c>
      <c r="E14" s="3">
        <f t="shared" si="4"/>
        <v>43.670957000000001</v>
      </c>
      <c r="F14" s="3" t="str">
        <f>IF(E14=$T14,"L",IF(E14=$U14,"H",""))</f>
        <v>L</v>
      </c>
      <c r="G14" s="1">
        <f>'9.8.0.15'!$E10</f>
        <v>34.332898</v>
      </c>
      <c r="H14" s="1">
        <f>'9.8.0.15'!$G10</f>
        <v>9.8073689999999996</v>
      </c>
      <c r="I14" s="3">
        <f t="shared" si="5"/>
        <v>44.140267000000001</v>
      </c>
      <c r="J14" s="3" t="str">
        <f t="shared" si="6"/>
        <v/>
      </c>
      <c r="K14" s="1">
        <f>'9.9.1.8'!$E10</f>
        <v>33.936461999999999</v>
      </c>
      <c r="L14" s="1">
        <f>'9.9.1.8'!$G10</f>
        <v>10.079715999999999</v>
      </c>
      <c r="M14" s="3">
        <f t="shared" si="7"/>
        <v>44.016177999999996</v>
      </c>
      <c r="N14" s="3" t="str">
        <f t="shared" si="8"/>
        <v/>
      </c>
      <c r="O14" s="1">
        <f>'11.4'!$E10</f>
        <v>34.377845999999998</v>
      </c>
      <c r="P14" s="1">
        <f>'11.4'!$G10</f>
        <v>10.483108</v>
      </c>
      <c r="Q14" s="3">
        <f t="shared" si="9"/>
        <v>44.860954</v>
      </c>
      <c r="R14" s="3" t="str">
        <f t="shared" si="10"/>
        <v>H</v>
      </c>
      <c r="T14" s="1">
        <f>MIN($E14,$I14,$M14,$Q14)</f>
        <v>43.670957000000001</v>
      </c>
      <c r="U14" s="1">
        <f>MAX($E14,$I14,$M14,$Q14)</f>
        <v>44.860954</v>
      </c>
      <c r="V14" s="1">
        <f>AVERAGE($E14,$I14,$M14,$Q14)</f>
        <v>44.172089</v>
      </c>
    </row>
    <row r="15" spans="1:22" x14ac:dyDescent="0.2">
      <c r="A15" t="str">
        <f>'9.7.0.18'!$H11</f>
        <v>mv-mp-vo-tst-2-1-aanvullendeinstructie-v20.xml</v>
      </c>
      <c r="B15" s="5">
        <f>'9.7.0.18'!$C11</f>
        <v>17596</v>
      </c>
      <c r="C15" s="1">
        <f>'9.7.0.18'!$E11</f>
        <v>33.072707999999999</v>
      </c>
      <c r="D15" s="1">
        <f>'9.7.0.18'!$G11</f>
        <v>10.26003</v>
      </c>
      <c r="E15" s="3">
        <f t="shared" si="4"/>
        <v>43.332737999999999</v>
      </c>
      <c r="F15" s="3" t="str">
        <f>IF(E15=$T15,"L",IF(E15=$U15,"H",""))</f>
        <v/>
      </c>
      <c r="G15" s="1">
        <f>'9.8.0.15'!$E11</f>
        <v>33.00667</v>
      </c>
      <c r="H15" s="1">
        <f>'9.8.0.15'!$G11</f>
        <v>9.4204179999999997</v>
      </c>
      <c r="I15" s="3">
        <f t="shared" si="5"/>
        <v>42.427087999999998</v>
      </c>
      <c r="J15" s="3" t="str">
        <f t="shared" si="6"/>
        <v>L</v>
      </c>
      <c r="K15" s="1">
        <f>'9.9.1.8'!$E11</f>
        <v>33.252006999999999</v>
      </c>
      <c r="L15" s="1">
        <f>'9.9.1.8'!$G11</f>
        <v>9.5643429999999992</v>
      </c>
      <c r="M15" s="3">
        <f t="shared" si="7"/>
        <v>42.81635</v>
      </c>
      <c r="N15" s="3" t="str">
        <f t="shared" si="8"/>
        <v/>
      </c>
      <c r="O15" s="1">
        <f>'11.4'!$E11</f>
        <v>40.960766999999997</v>
      </c>
      <c r="P15" s="1">
        <f>'11.4'!$G11</f>
        <v>10.292177000000001</v>
      </c>
      <c r="Q15" s="3">
        <f t="shared" si="9"/>
        <v>51.252943999999999</v>
      </c>
      <c r="R15" s="3" t="str">
        <f t="shared" si="10"/>
        <v>H</v>
      </c>
      <c r="T15" s="1">
        <f>MIN($E15,$I15,$M15,$Q15)</f>
        <v>42.427087999999998</v>
      </c>
      <c r="U15" s="1">
        <f>MAX($E15,$I15,$M15,$Q15)</f>
        <v>51.252943999999999</v>
      </c>
      <c r="V15" s="1">
        <f>AVERAGE($E15,$I15,$M15,$Q15)</f>
        <v>44.957279999999997</v>
      </c>
    </row>
    <row r="16" spans="1:22" x14ac:dyDescent="0.2">
      <c r="A16" t="str">
        <f>'9.7.0.18'!$H12</f>
        <v>mv-mp-vo-tst-2-2-toelichting-v20.xml</v>
      </c>
      <c r="B16" s="5">
        <f>'9.7.0.18'!$C12</f>
        <v>17195</v>
      </c>
      <c r="C16" s="1">
        <f>'9.7.0.18'!$E12</f>
        <v>34.370162000000001</v>
      </c>
      <c r="D16" s="1">
        <f>'9.7.0.18'!$G12</f>
        <v>8.5979580000000002</v>
      </c>
      <c r="E16" s="3">
        <f t="shared" si="4"/>
        <v>42.968119999999999</v>
      </c>
      <c r="F16" s="3" t="str">
        <f>IF(E16=$T16,"L",IF(E16=$U16,"H",""))</f>
        <v/>
      </c>
      <c r="G16" s="1">
        <f>'9.8.0.15'!$E12</f>
        <v>38.009872000000001</v>
      </c>
      <c r="H16" s="1">
        <f>'9.8.0.15'!$G12</f>
        <v>9.0226229999999994</v>
      </c>
      <c r="I16" s="3">
        <f t="shared" si="5"/>
        <v>47.032494999999997</v>
      </c>
      <c r="J16" s="3" t="str">
        <f t="shared" si="6"/>
        <v>H</v>
      </c>
      <c r="K16" s="1">
        <f>'9.9.1.8'!$E12</f>
        <v>33.260683999999998</v>
      </c>
      <c r="L16" s="1">
        <f>'9.9.1.8'!$G12</f>
        <v>9.1931539999999998</v>
      </c>
      <c r="M16" s="3">
        <f t="shared" si="7"/>
        <v>42.453837999999998</v>
      </c>
      <c r="N16" s="3" t="str">
        <f t="shared" si="8"/>
        <v>L</v>
      </c>
      <c r="O16" s="1">
        <f>'11.4'!$E12</f>
        <v>34.659153000000003</v>
      </c>
      <c r="P16" s="1">
        <f>'11.4'!$G12</f>
        <v>9.0142100000000003</v>
      </c>
      <c r="Q16" s="3">
        <f t="shared" si="9"/>
        <v>43.673363000000002</v>
      </c>
      <c r="R16" s="3" t="str">
        <f t="shared" si="10"/>
        <v/>
      </c>
      <c r="T16" s="1">
        <f>MIN($E16,$I16,$M16,$Q16)</f>
        <v>42.453837999999998</v>
      </c>
      <c r="U16" s="1">
        <f>MAX($E16,$I16,$M16,$Q16)</f>
        <v>47.032494999999997</v>
      </c>
      <c r="V16" s="1">
        <f>AVERAGE($E16,$I16,$M16,$Q16)</f>
        <v>44.031953999999999</v>
      </c>
    </row>
    <row r="17" spans="1:22" x14ac:dyDescent="0.2">
      <c r="A17" t="str">
        <f>'9.7.0.18'!$H13</f>
        <v>mv-mp-vo-tst-2-3-redenvanvoorschrijven-v20.xml</v>
      </c>
      <c r="B17" s="5">
        <f>'9.7.0.18'!$C13</f>
        <v>18407</v>
      </c>
      <c r="C17" s="1">
        <f>'9.7.0.18'!$E13</f>
        <v>37.192464999999999</v>
      </c>
      <c r="D17" s="1">
        <f>'9.7.0.18'!$G13</f>
        <v>9.5138649999999991</v>
      </c>
      <c r="E17" s="3">
        <f t="shared" si="4"/>
        <v>46.706329999999994</v>
      </c>
      <c r="F17" s="3" t="str">
        <f>IF(E17=$T17,"L",IF(E17=$U17,"H",""))</f>
        <v>H</v>
      </c>
      <c r="G17" s="1">
        <f>'9.8.0.15'!$E13</f>
        <v>34.522914</v>
      </c>
      <c r="H17" s="1">
        <f>'9.8.0.15'!$G13</f>
        <v>9.7173079999999992</v>
      </c>
      <c r="I17" s="3">
        <f t="shared" si="5"/>
        <v>44.240222000000003</v>
      </c>
      <c r="J17" s="3" t="str">
        <f t="shared" si="6"/>
        <v/>
      </c>
      <c r="K17" s="1">
        <f>'9.9.1.8'!$E13</f>
        <v>36.244768000000001</v>
      </c>
      <c r="L17" s="1">
        <f>'9.9.1.8'!$G13</f>
        <v>10.142103000000001</v>
      </c>
      <c r="M17" s="3">
        <f t="shared" si="7"/>
        <v>46.386870999999999</v>
      </c>
      <c r="N17" s="3" t="str">
        <f t="shared" si="8"/>
        <v/>
      </c>
      <c r="O17" s="1">
        <f>'11.4'!$E13</f>
        <v>34.549751999999998</v>
      </c>
      <c r="P17" s="1">
        <f>'11.4'!$G13</f>
        <v>9.6235579999999992</v>
      </c>
      <c r="Q17" s="3">
        <f t="shared" si="9"/>
        <v>44.173310000000001</v>
      </c>
      <c r="R17" s="3" t="str">
        <f t="shared" si="10"/>
        <v>L</v>
      </c>
      <c r="T17" s="1">
        <f>MIN($E17,$I17,$M17,$Q17)</f>
        <v>44.173310000000001</v>
      </c>
      <c r="U17" s="1">
        <f>MAX($E17,$I17,$M17,$Q17)</f>
        <v>46.706329999999994</v>
      </c>
      <c r="V17" s="1">
        <f>AVERAGE($E17,$I17,$M17,$Q17)</f>
        <v>45.376683249999999</v>
      </c>
    </row>
    <row r="18" spans="1:22" x14ac:dyDescent="0.2">
      <c r="A18" t="str">
        <f>'9.7.0.18'!$H14</f>
        <v>mv-mp-vo-tst-2-4-aanvullendeinformatiewensen-v20.xml</v>
      </c>
      <c r="B18" s="5">
        <f>'9.7.0.18'!$C14</f>
        <v>18163</v>
      </c>
      <c r="C18" s="1">
        <f>'9.7.0.18'!$E14</f>
        <v>35.33417</v>
      </c>
      <c r="D18" s="1">
        <f>'9.7.0.18'!$G14</f>
        <v>9.7546510000000008</v>
      </c>
      <c r="E18" s="3">
        <f t="shared" si="4"/>
        <v>45.088821000000003</v>
      </c>
      <c r="F18" s="3" t="str">
        <f>IF(E18=$T18,"L",IF(E18=$U18,"H",""))</f>
        <v/>
      </c>
      <c r="G18" s="1">
        <f>'9.8.0.15'!$E14</f>
        <v>34.870432000000001</v>
      </c>
      <c r="H18" s="1">
        <f>'9.8.0.15'!$G14</f>
        <v>10.394378</v>
      </c>
      <c r="I18" s="3">
        <f t="shared" si="5"/>
        <v>45.264809999999997</v>
      </c>
      <c r="J18" s="3" t="str">
        <f t="shared" si="6"/>
        <v/>
      </c>
      <c r="K18" s="1">
        <f>'9.9.1.8'!$E14</f>
        <v>34.685101000000003</v>
      </c>
      <c r="L18" s="1">
        <f>'9.9.1.8'!$G14</f>
        <v>9.9108280000000004</v>
      </c>
      <c r="M18" s="3">
        <f t="shared" si="7"/>
        <v>44.595929000000005</v>
      </c>
      <c r="N18" s="3" t="str">
        <f t="shared" si="8"/>
        <v>L</v>
      </c>
      <c r="O18" s="1">
        <f>'11.4'!$E14</f>
        <v>36.522652000000001</v>
      </c>
      <c r="P18" s="1">
        <f>'11.4'!$G14</f>
        <v>10.155519999999999</v>
      </c>
      <c r="Q18" s="3">
        <f t="shared" si="9"/>
        <v>46.678172000000004</v>
      </c>
      <c r="R18" s="3" t="str">
        <f t="shared" si="10"/>
        <v>H</v>
      </c>
      <c r="T18" s="1">
        <f>MIN($E18,$I18,$M18,$Q18)</f>
        <v>44.595929000000005</v>
      </c>
      <c r="U18" s="1">
        <f>MAX($E18,$I18,$M18,$Q18)</f>
        <v>46.678172000000004</v>
      </c>
      <c r="V18" s="1">
        <f>AVERAGE($E18,$I18,$M18,$Q18)</f>
        <v>45.406933000000009</v>
      </c>
    </row>
    <row r="19" spans="1:22" x14ac:dyDescent="0.2">
      <c r="A19" t="str">
        <f>'9.7.0.18'!$H15</f>
        <v>mv-mp-vo-tst-2-5-toedieningsweg-v20.xml</v>
      </c>
      <c r="B19" s="5">
        <f>'9.7.0.18'!$C15</f>
        <v>18096</v>
      </c>
      <c r="C19" s="1">
        <f>'9.7.0.18'!$E15</f>
        <v>36.071992000000002</v>
      </c>
      <c r="D19" s="1">
        <f>'9.7.0.18'!$G15</f>
        <v>9.7720070000000003</v>
      </c>
      <c r="E19" s="3">
        <f t="shared" si="4"/>
        <v>45.843999000000004</v>
      </c>
      <c r="F19" s="3" t="str">
        <f>IF(E19=$T19,"L",IF(E19=$U19,"H",""))</f>
        <v>H</v>
      </c>
      <c r="G19" s="1">
        <f>'9.8.0.15'!$E15</f>
        <v>35.236795000000001</v>
      </c>
      <c r="H19" s="1">
        <f>'9.8.0.15'!$G15</f>
        <v>9.5671429999999997</v>
      </c>
      <c r="I19" s="3">
        <f t="shared" si="5"/>
        <v>44.803938000000002</v>
      </c>
      <c r="J19" s="3" t="str">
        <f t="shared" si="6"/>
        <v/>
      </c>
      <c r="K19" s="1">
        <f>'9.9.1.8'!$E15</f>
        <v>33.317385999999999</v>
      </c>
      <c r="L19" s="1">
        <f>'9.9.1.8'!$G15</f>
        <v>9.0513910000000006</v>
      </c>
      <c r="M19" s="3">
        <f t="shared" si="7"/>
        <v>42.368777000000001</v>
      </c>
      <c r="N19" s="3" t="str">
        <f t="shared" si="8"/>
        <v>L</v>
      </c>
      <c r="O19" s="1">
        <f>'11.4'!$E15</f>
        <v>35.999910999999997</v>
      </c>
      <c r="P19" s="1">
        <f>'11.4'!$G15</f>
        <v>9.6803969999999993</v>
      </c>
      <c r="Q19" s="3">
        <f t="shared" si="9"/>
        <v>45.680307999999997</v>
      </c>
      <c r="R19" s="3" t="str">
        <f t="shared" si="10"/>
        <v/>
      </c>
      <c r="T19" s="1">
        <f>MIN($E19,$I19,$M19,$Q19)</f>
        <v>42.368777000000001</v>
      </c>
      <c r="U19" s="1">
        <f>MAX($E19,$I19,$M19,$Q19)</f>
        <v>45.843999000000004</v>
      </c>
      <c r="V19" s="1">
        <f>AVERAGE($E19,$I19,$M19,$Q19)</f>
        <v>44.674255500000001</v>
      </c>
    </row>
    <row r="20" spans="1:22" x14ac:dyDescent="0.2">
      <c r="A20" t="str">
        <f>'9.7.0.18'!$H16</f>
        <v>mv-mp-vo-tst-3-1a-stoppen-v20.xml</v>
      </c>
      <c r="B20" s="5">
        <f>'9.7.0.18'!$C16</f>
        <v>17287</v>
      </c>
      <c r="C20" s="1">
        <f>'9.7.0.18'!$E16</f>
        <v>34.523924999999998</v>
      </c>
      <c r="D20" s="1">
        <f>'9.7.0.18'!$G16</f>
        <v>9.0754999999999999</v>
      </c>
      <c r="E20" s="3">
        <f t="shared" si="4"/>
        <v>43.599424999999997</v>
      </c>
      <c r="F20" s="3" t="str">
        <f>IF(E20=$T20,"L",IF(E20=$U20,"H",""))</f>
        <v/>
      </c>
      <c r="G20" s="1">
        <f>'9.8.0.15'!$E16</f>
        <v>33.729976999999998</v>
      </c>
      <c r="H20" s="1">
        <f>'9.8.0.15'!$G16</f>
        <v>9.4159179999999996</v>
      </c>
      <c r="I20" s="3">
        <f t="shared" si="5"/>
        <v>43.145894999999996</v>
      </c>
      <c r="J20" s="3" t="str">
        <f t="shared" si="6"/>
        <v/>
      </c>
      <c r="K20" s="1">
        <f>'9.9.1.8'!$E16</f>
        <v>33.410685999999998</v>
      </c>
      <c r="L20" s="1">
        <f>'9.9.1.8'!$G16</f>
        <v>9.3638200000000005</v>
      </c>
      <c r="M20" s="3">
        <f t="shared" si="7"/>
        <v>42.774506000000002</v>
      </c>
      <c r="N20" s="3" t="str">
        <f t="shared" si="8"/>
        <v>L</v>
      </c>
      <c r="O20" s="1">
        <f>'11.4'!$E16</f>
        <v>34.309542</v>
      </c>
      <c r="P20" s="1">
        <f>'11.4'!$G16</f>
        <v>10.469137</v>
      </c>
      <c r="Q20" s="3">
        <f t="shared" si="9"/>
        <v>44.778678999999997</v>
      </c>
      <c r="R20" s="3" t="str">
        <f t="shared" si="10"/>
        <v>H</v>
      </c>
      <c r="T20" s="1">
        <f>MIN($E20,$I20,$M20,$Q20)</f>
        <v>42.774506000000002</v>
      </c>
      <c r="U20" s="1">
        <f>MAX($E20,$I20,$M20,$Q20)</f>
        <v>44.778678999999997</v>
      </c>
      <c r="V20" s="1">
        <f>AVERAGE($E20,$I20,$M20,$Q20)</f>
        <v>43.574626249999994</v>
      </c>
    </row>
    <row r="21" spans="1:22" x14ac:dyDescent="0.2">
      <c r="A21" t="str">
        <f>'9.7.0.18'!$H17</f>
        <v>mv-mp-vo-tst-3-1b-stoppen-v20.xml</v>
      </c>
      <c r="B21" s="5">
        <f>'9.7.0.18'!$C17</f>
        <v>13933</v>
      </c>
      <c r="C21" s="1">
        <f>'9.7.0.18'!$E17</f>
        <v>23.899429000000001</v>
      </c>
      <c r="D21" s="1">
        <f>'9.7.0.18'!$G17</f>
        <v>8.73935</v>
      </c>
      <c r="E21" s="3">
        <f t="shared" si="4"/>
        <v>32.638779</v>
      </c>
      <c r="F21" s="3" t="str">
        <f>IF(E21=$T21,"L",IF(E21=$U21,"H",""))</f>
        <v/>
      </c>
      <c r="G21" s="1">
        <f>'9.8.0.15'!$E17</f>
        <v>27.182424999999999</v>
      </c>
      <c r="H21" s="1">
        <f>'9.8.0.15'!$G17</f>
        <v>8.1062460000000005</v>
      </c>
      <c r="I21" s="3">
        <f t="shared" si="5"/>
        <v>35.288671000000001</v>
      </c>
      <c r="J21" s="3" t="str">
        <f t="shared" si="6"/>
        <v>H</v>
      </c>
      <c r="K21" s="1">
        <f>'9.9.1.8'!$E17</f>
        <v>23.954122999999999</v>
      </c>
      <c r="L21" s="1">
        <f>'9.9.1.8'!$G17</f>
        <v>8.2077010000000001</v>
      </c>
      <c r="M21" s="3">
        <f t="shared" si="7"/>
        <v>32.161823999999996</v>
      </c>
      <c r="N21" s="3" t="str">
        <f t="shared" si="8"/>
        <v>L</v>
      </c>
      <c r="O21" s="1">
        <f>'11.4'!$E17</f>
        <v>26.640592999999999</v>
      </c>
      <c r="P21" s="1">
        <f>'11.4'!$G17</f>
        <v>8.2196540000000002</v>
      </c>
      <c r="Q21" s="3">
        <f t="shared" si="9"/>
        <v>34.860247000000001</v>
      </c>
      <c r="R21" s="3" t="str">
        <f t="shared" si="10"/>
        <v/>
      </c>
      <c r="T21" s="1">
        <f>MIN($E21,$I21,$M21,$Q21)</f>
        <v>32.161823999999996</v>
      </c>
      <c r="U21" s="1">
        <f>MAX($E21,$I21,$M21,$Q21)</f>
        <v>35.288671000000001</v>
      </c>
      <c r="V21" s="1">
        <f>AVERAGE($E21,$I21,$M21,$Q21)</f>
        <v>33.737380250000001</v>
      </c>
    </row>
    <row r="22" spans="1:22" x14ac:dyDescent="0.2">
      <c r="A22" t="str">
        <f>'9.7.0.18'!$H18</f>
        <v>mv-mp-vo-tst-3-2a-wijzigen-verhoging-v20.xml</v>
      </c>
      <c r="B22" s="5">
        <f>'9.7.0.18'!$C18</f>
        <v>17243</v>
      </c>
      <c r="C22" s="1">
        <f>'9.7.0.18'!$E18</f>
        <v>35.378914999999999</v>
      </c>
      <c r="D22" s="1">
        <f>'9.7.0.18'!$G18</f>
        <v>9.3384630000000008</v>
      </c>
      <c r="E22" s="3">
        <f t="shared" ref="E22:E51" si="11">C22+D22</f>
        <v>44.717377999999997</v>
      </c>
      <c r="F22" s="3" t="str">
        <f t="shared" ref="F22:F52" si="12">IF(E22=$T22,"L",IF(E22=$U22,"H",""))</f>
        <v/>
      </c>
      <c r="G22" s="1">
        <f>'9.8.0.15'!$E18</f>
        <v>35.721702000000001</v>
      </c>
      <c r="H22" s="1">
        <f>'9.8.0.15'!$G18</f>
        <v>9.0842670000000005</v>
      </c>
      <c r="I22" s="3">
        <f t="shared" ref="I22:I51" si="13">G22+H22</f>
        <v>44.805969000000005</v>
      </c>
      <c r="J22" s="3" t="str">
        <f t="shared" si="6"/>
        <v/>
      </c>
      <c r="K22" s="1">
        <f>'9.9.1.8'!$E18</f>
        <v>34.176209</v>
      </c>
      <c r="L22" s="1">
        <f>'9.9.1.8'!$G18</f>
        <v>7.9441819999999996</v>
      </c>
      <c r="M22" s="3">
        <f t="shared" ref="M22:M51" si="14">K22+L22</f>
        <v>42.120390999999998</v>
      </c>
      <c r="N22" s="3" t="str">
        <f t="shared" si="8"/>
        <v>L</v>
      </c>
      <c r="O22" s="1">
        <f>'11.4'!$E18</f>
        <v>36.116449000000003</v>
      </c>
      <c r="P22" s="1">
        <f>'11.4'!$G18</f>
        <v>10.910743</v>
      </c>
      <c r="Q22" s="3">
        <f t="shared" ref="Q22:Q51" si="15">O22+P22</f>
        <v>47.027191999999999</v>
      </c>
      <c r="R22" s="3" t="str">
        <f t="shared" si="10"/>
        <v>H</v>
      </c>
      <c r="T22" s="1">
        <f t="shared" ref="T22:T52" si="16">MIN($E22,$I22,$M22,$Q22)</f>
        <v>42.120390999999998</v>
      </c>
      <c r="U22" s="1">
        <f t="shared" ref="U22:U52" si="17">MAX($E22,$I22,$M22,$Q22)</f>
        <v>47.027191999999999</v>
      </c>
      <c r="V22" s="1">
        <f t="shared" ref="V22:V52" si="18">AVERAGE($E22,$I22,$M22,$Q22)</f>
        <v>44.6677325</v>
      </c>
    </row>
    <row r="23" spans="1:22" x14ac:dyDescent="0.2">
      <c r="A23" t="str">
        <f>'9.7.0.18'!$H19</f>
        <v>mv-mp-vo-tst-3-2b-wijzigen-verhoging-v20.xml</v>
      </c>
      <c r="B23" s="5">
        <f>'9.7.0.18'!$C19</f>
        <v>23270</v>
      </c>
      <c r="C23" s="1">
        <f>'9.7.0.18'!$E19</f>
        <v>42.102088999999999</v>
      </c>
      <c r="D23" s="1">
        <f>'9.7.0.18'!$G19</f>
        <v>15.482378000000001</v>
      </c>
      <c r="E23" s="3">
        <f t="shared" si="11"/>
        <v>57.584467000000004</v>
      </c>
      <c r="F23" s="3" t="str">
        <f t="shared" si="12"/>
        <v/>
      </c>
      <c r="G23" s="1">
        <f>'9.8.0.15'!$E19</f>
        <v>39.746088999999998</v>
      </c>
      <c r="H23" s="1">
        <f>'9.8.0.15'!$G19</f>
        <v>11.924127</v>
      </c>
      <c r="I23" s="3">
        <f t="shared" si="13"/>
        <v>51.670215999999996</v>
      </c>
      <c r="J23" s="3" t="str">
        <f t="shared" si="6"/>
        <v>L</v>
      </c>
      <c r="K23" s="1">
        <f>'9.9.1.8'!$E19</f>
        <v>39.859875000000002</v>
      </c>
      <c r="L23" s="1">
        <f>'9.9.1.8'!$G19</f>
        <v>12.063126</v>
      </c>
      <c r="M23" s="3">
        <f t="shared" si="14"/>
        <v>51.923000999999999</v>
      </c>
      <c r="N23" s="3" t="str">
        <f t="shared" si="8"/>
        <v/>
      </c>
      <c r="O23" s="1">
        <f>'11.4'!$E19</f>
        <v>42.339378000000004</v>
      </c>
      <c r="P23" s="1">
        <f>'11.4'!$G19</f>
        <v>15.507236000000001</v>
      </c>
      <c r="Q23" s="3">
        <f t="shared" si="15"/>
        <v>57.846614000000002</v>
      </c>
      <c r="R23" s="3" t="str">
        <f t="shared" si="10"/>
        <v>H</v>
      </c>
      <c r="T23" s="1">
        <f t="shared" si="16"/>
        <v>51.670215999999996</v>
      </c>
      <c r="U23" s="1">
        <f t="shared" si="17"/>
        <v>57.846614000000002</v>
      </c>
      <c r="V23" s="1">
        <f t="shared" si="18"/>
        <v>54.756074499999997</v>
      </c>
    </row>
    <row r="24" spans="1:22" x14ac:dyDescent="0.2">
      <c r="A24" t="str">
        <f>'9.7.0.18'!$H20</f>
        <v>mv-mp-vo-tst-3-3a-wijzigen-verlaging-v20.xml</v>
      </c>
      <c r="B24" s="5">
        <f>'9.7.0.18'!$C20</f>
        <v>17346</v>
      </c>
      <c r="C24" s="1">
        <f>'9.7.0.18'!$E20</f>
        <v>37.693311000000001</v>
      </c>
      <c r="D24" s="1">
        <f>'9.7.0.18'!$G20</f>
        <v>9.6420379999999994</v>
      </c>
      <c r="E24" s="3">
        <f t="shared" si="11"/>
        <v>47.335349000000001</v>
      </c>
      <c r="F24" s="3" t="str">
        <f t="shared" si="12"/>
        <v>H</v>
      </c>
      <c r="G24" s="1">
        <f>'9.8.0.15'!$E20</f>
        <v>34.964779999999998</v>
      </c>
      <c r="H24" s="1">
        <f>'9.8.0.15'!$G20</f>
        <v>9.3726350000000007</v>
      </c>
      <c r="I24" s="3">
        <f t="shared" si="13"/>
        <v>44.337415</v>
      </c>
      <c r="J24" s="3" t="str">
        <f t="shared" si="6"/>
        <v/>
      </c>
      <c r="K24" s="1">
        <f>'9.9.1.8'!$E20</f>
        <v>31.870135999999999</v>
      </c>
      <c r="L24" s="1">
        <f>'9.9.1.8'!$G20</f>
        <v>9.5602300000000007</v>
      </c>
      <c r="M24" s="3">
        <f t="shared" si="14"/>
        <v>41.430365999999999</v>
      </c>
      <c r="N24" s="3" t="str">
        <f t="shared" si="8"/>
        <v>L</v>
      </c>
      <c r="O24" s="1">
        <f>'11.4'!$E20</f>
        <v>34.541007</v>
      </c>
      <c r="P24" s="1">
        <f>'11.4'!$G20</f>
        <v>9.5053669999999997</v>
      </c>
      <c r="Q24" s="3">
        <f t="shared" si="15"/>
        <v>44.046374</v>
      </c>
      <c r="R24" s="3" t="str">
        <f t="shared" si="10"/>
        <v/>
      </c>
      <c r="T24" s="1">
        <f t="shared" si="16"/>
        <v>41.430365999999999</v>
      </c>
      <c r="U24" s="1">
        <f t="shared" si="17"/>
        <v>47.335349000000001</v>
      </c>
      <c r="V24" s="1">
        <f t="shared" si="18"/>
        <v>44.287375999999995</v>
      </c>
    </row>
    <row r="25" spans="1:22" x14ac:dyDescent="0.2">
      <c r="A25" t="str">
        <f>'9.7.0.18'!$H21</f>
        <v>mv-mp-vo-tst-3-3b-wijzigen-verlaging-v20.xml</v>
      </c>
      <c r="B25" s="5">
        <f>'9.7.0.18'!$C21</f>
        <v>18787</v>
      </c>
      <c r="C25" s="1">
        <f>'9.7.0.18'!$E21</f>
        <v>29.265947000000001</v>
      </c>
      <c r="D25" s="1">
        <f>'9.7.0.18'!$G21</f>
        <v>14.852663</v>
      </c>
      <c r="E25" s="3">
        <f t="shared" si="11"/>
        <v>44.118610000000004</v>
      </c>
      <c r="F25" s="3" t="str">
        <f t="shared" si="12"/>
        <v/>
      </c>
      <c r="G25" s="1">
        <f>'9.8.0.15'!$E21</f>
        <v>28.274018999999999</v>
      </c>
      <c r="H25" s="1">
        <f>'9.8.0.15'!$G21</f>
        <v>11.034489000000001</v>
      </c>
      <c r="I25" s="3">
        <f t="shared" si="13"/>
        <v>39.308508000000003</v>
      </c>
      <c r="J25" s="3" t="str">
        <f t="shared" si="6"/>
        <v>L</v>
      </c>
      <c r="K25" s="1">
        <f>'9.9.1.8'!$E21</f>
        <v>37.244737000000001</v>
      </c>
      <c r="L25" s="1">
        <f>'9.9.1.8'!$G21</f>
        <v>11.107588</v>
      </c>
      <c r="M25" s="3">
        <f t="shared" si="14"/>
        <v>48.352325</v>
      </c>
      <c r="N25" s="3" t="str">
        <f t="shared" si="8"/>
        <v>H</v>
      </c>
      <c r="O25" s="1">
        <f>'11.4'!$E21</f>
        <v>29.183098000000001</v>
      </c>
      <c r="P25" s="1">
        <f>'11.4'!$G21</f>
        <v>12.795515999999999</v>
      </c>
      <c r="Q25" s="3">
        <f t="shared" si="15"/>
        <v>41.978614</v>
      </c>
      <c r="R25" s="3" t="str">
        <f t="shared" si="10"/>
        <v/>
      </c>
      <c r="T25" s="1">
        <f t="shared" si="16"/>
        <v>39.308508000000003</v>
      </c>
      <c r="U25" s="1">
        <f t="shared" si="17"/>
        <v>48.352325</v>
      </c>
      <c r="V25" s="1">
        <f t="shared" si="18"/>
        <v>43.439514250000002</v>
      </c>
    </row>
    <row r="26" spans="1:22" x14ac:dyDescent="0.2">
      <c r="A26" t="str">
        <f>'9.7.0.18'!$H22</f>
        <v>mv-mp-vo-tst-3-4a-onderbreken-v20.xml</v>
      </c>
      <c r="B26" s="5">
        <f>'9.7.0.18'!$C22</f>
        <v>17301</v>
      </c>
      <c r="C26" s="1">
        <f>'9.7.0.18'!$E22</f>
        <v>46.340685000000001</v>
      </c>
      <c r="D26" s="1">
        <f>'9.7.0.18'!$G22</f>
        <v>10.751355999999999</v>
      </c>
      <c r="E26" s="3">
        <f t="shared" si="11"/>
        <v>57.092041000000002</v>
      </c>
      <c r="F26" s="3" t="str">
        <f t="shared" si="12"/>
        <v>H</v>
      </c>
      <c r="G26" s="1">
        <f>'9.8.0.15'!$E22</f>
        <v>34.571905999999998</v>
      </c>
      <c r="H26" s="1">
        <f>'9.8.0.15'!$G22</f>
        <v>9.3815010000000001</v>
      </c>
      <c r="I26" s="3">
        <f t="shared" si="13"/>
        <v>43.953406999999999</v>
      </c>
      <c r="J26" s="3" t="str">
        <f t="shared" si="6"/>
        <v>L</v>
      </c>
      <c r="K26" s="1">
        <f>'9.9.1.8'!$E22</f>
        <v>35.520200000000003</v>
      </c>
      <c r="L26" s="1">
        <f>'9.9.1.8'!$G22</f>
        <v>9.1671169999999993</v>
      </c>
      <c r="M26" s="3">
        <f t="shared" si="14"/>
        <v>44.687317</v>
      </c>
      <c r="N26" s="3" t="str">
        <f t="shared" si="8"/>
        <v/>
      </c>
      <c r="O26" s="1">
        <f>'11.4'!$E22</f>
        <v>37.017890999999999</v>
      </c>
      <c r="P26" s="1">
        <f>'11.4'!$G22</f>
        <v>10.320611</v>
      </c>
      <c r="Q26" s="3">
        <f t="shared" si="15"/>
        <v>47.338501999999998</v>
      </c>
      <c r="R26" s="3" t="str">
        <f t="shared" si="10"/>
        <v/>
      </c>
      <c r="T26" s="1">
        <f t="shared" si="16"/>
        <v>43.953406999999999</v>
      </c>
      <c r="U26" s="1">
        <f t="shared" si="17"/>
        <v>57.092041000000002</v>
      </c>
      <c r="V26" s="1">
        <f t="shared" si="18"/>
        <v>48.267816750000001</v>
      </c>
    </row>
    <row r="27" spans="1:22" x14ac:dyDescent="0.2">
      <c r="A27" t="str">
        <f>'9.7.0.18'!$H23</f>
        <v>mv-mp-vo-tst-3-4b-onderbreken-v20.xml</v>
      </c>
      <c r="B27" s="5">
        <f>'9.7.0.18'!$C23</f>
        <v>13943</v>
      </c>
      <c r="C27" s="1">
        <f>'9.7.0.18'!$E23</f>
        <v>27.185766000000001</v>
      </c>
      <c r="D27" s="1">
        <f>'9.7.0.18'!$G23</f>
        <v>12.573917</v>
      </c>
      <c r="E27" s="3">
        <f t="shared" si="11"/>
        <v>39.759683000000003</v>
      </c>
      <c r="F27" s="3" t="str">
        <f t="shared" si="12"/>
        <v>H</v>
      </c>
      <c r="G27" s="1">
        <f>'9.8.0.15'!$E23</f>
        <v>25.261596999999998</v>
      </c>
      <c r="H27" s="1">
        <f>'9.8.0.15'!$G23</f>
        <v>8.4385169999999992</v>
      </c>
      <c r="I27" s="3">
        <f t="shared" si="13"/>
        <v>33.700113999999999</v>
      </c>
      <c r="J27" s="3" t="str">
        <f t="shared" si="6"/>
        <v/>
      </c>
      <c r="K27" s="1">
        <f>'9.9.1.8'!$E23</f>
        <v>24.263822000000001</v>
      </c>
      <c r="L27" s="1">
        <f>'9.9.1.8'!$G23</f>
        <v>7.5565490000000004</v>
      </c>
      <c r="M27" s="3">
        <f t="shared" si="14"/>
        <v>31.820371000000002</v>
      </c>
      <c r="N27" s="3" t="str">
        <f t="shared" si="8"/>
        <v>L</v>
      </c>
      <c r="O27" s="1">
        <f>'11.4'!$E23</f>
        <v>25.516503</v>
      </c>
      <c r="P27" s="1">
        <f>'11.4'!$G23</f>
        <v>8.3902269999999994</v>
      </c>
      <c r="Q27" s="3">
        <f t="shared" si="15"/>
        <v>33.906729999999996</v>
      </c>
      <c r="R27" s="3" t="str">
        <f t="shared" si="10"/>
        <v/>
      </c>
      <c r="T27" s="1">
        <f t="shared" si="16"/>
        <v>31.820371000000002</v>
      </c>
      <c r="U27" s="1">
        <f t="shared" si="17"/>
        <v>39.759683000000003</v>
      </c>
      <c r="V27" s="1">
        <f t="shared" si="18"/>
        <v>34.796724499999996</v>
      </c>
    </row>
    <row r="28" spans="1:22" x14ac:dyDescent="0.2">
      <c r="A28" t="str">
        <f>'9.7.0.18'!$H24</f>
        <v>mv-mp-vo-tst-3-5-wijzigenTA-v20.xml</v>
      </c>
      <c r="B28" s="5">
        <f>'9.7.0.18'!$C24</f>
        <v>17591</v>
      </c>
      <c r="C28" s="1">
        <f>'9.7.0.18'!$E24</f>
        <v>34.914265</v>
      </c>
      <c r="D28" s="1">
        <f>'9.7.0.18'!$G24</f>
        <v>9.8427050000000005</v>
      </c>
      <c r="E28" s="3">
        <f t="shared" si="11"/>
        <v>44.756970000000003</v>
      </c>
      <c r="F28" s="3" t="str">
        <f t="shared" si="12"/>
        <v>L</v>
      </c>
      <c r="G28" s="1">
        <f>'9.8.0.15'!$E24</f>
        <v>39.969566</v>
      </c>
      <c r="H28" s="1">
        <f>'9.8.0.15'!$G24</f>
        <v>8.9375630000000008</v>
      </c>
      <c r="I28" s="3">
        <f t="shared" si="13"/>
        <v>48.907128999999998</v>
      </c>
      <c r="J28" s="3" t="str">
        <f t="shared" si="6"/>
        <v>H</v>
      </c>
      <c r="K28" s="1">
        <f>'9.9.1.8'!$E24</f>
        <v>37.287332999999997</v>
      </c>
      <c r="L28" s="1">
        <f>'9.9.1.8'!$G24</f>
        <v>10.119248000000001</v>
      </c>
      <c r="M28" s="3">
        <f t="shared" si="14"/>
        <v>47.406580999999996</v>
      </c>
      <c r="N28" s="3" t="str">
        <f t="shared" si="8"/>
        <v/>
      </c>
      <c r="O28" s="1">
        <f>'11.4'!$E24</f>
        <v>35.697626</v>
      </c>
      <c r="P28" s="1">
        <f>'11.4'!$G24</f>
        <v>10.428115</v>
      </c>
      <c r="Q28" s="3">
        <f t="shared" si="15"/>
        <v>46.125740999999998</v>
      </c>
      <c r="R28" s="3" t="str">
        <f t="shared" si="10"/>
        <v/>
      </c>
      <c r="T28" s="1">
        <f t="shared" si="16"/>
        <v>44.756970000000003</v>
      </c>
      <c r="U28" s="1">
        <f t="shared" si="17"/>
        <v>48.907128999999998</v>
      </c>
      <c r="V28" s="1">
        <f t="shared" si="18"/>
        <v>46.799105249999997</v>
      </c>
    </row>
    <row r="29" spans="1:22" x14ac:dyDescent="0.2">
      <c r="A29" t="str">
        <f>'9.7.0.18'!$H25</f>
        <v>mv-mp-vo-tst-4-1-a-lengte-gewicht-v20.xml</v>
      </c>
      <c r="B29" s="5">
        <f>'9.7.0.18'!$C25</f>
        <v>20141</v>
      </c>
      <c r="C29" s="1">
        <f>'9.7.0.18'!$E25</f>
        <v>45.663038</v>
      </c>
      <c r="D29" s="1">
        <f>'9.7.0.18'!$G25</f>
        <v>10.734014</v>
      </c>
      <c r="E29" s="3">
        <f t="shared" si="11"/>
        <v>56.397052000000002</v>
      </c>
      <c r="F29" s="3" t="str">
        <f t="shared" si="12"/>
        <v>H</v>
      </c>
      <c r="G29" s="1">
        <f>'9.8.0.15'!$E25</f>
        <v>34.210827999999999</v>
      </c>
      <c r="H29" s="1">
        <f>'9.8.0.15'!$G25</f>
        <v>10.431403</v>
      </c>
      <c r="I29" s="3">
        <f t="shared" si="13"/>
        <v>44.642230999999995</v>
      </c>
      <c r="J29" s="3" t="str">
        <f t="shared" si="6"/>
        <v/>
      </c>
      <c r="K29" s="1">
        <f>'9.9.1.8'!$E25</f>
        <v>33.022973999999998</v>
      </c>
      <c r="L29" s="1">
        <f>'9.9.1.8'!$G25</f>
        <v>10.193673</v>
      </c>
      <c r="M29" s="3">
        <f t="shared" si="14"/>
        <v>43.216646999999995</v>
      </c>
      <c r="N29" s="3" t="str">
        <f t="shared" si="8"/>
        <v>L</v>
      </c>
      <c r="O29" s="1">
        <f>'11.4'!$E25</f>
        <v>36.758158000000002</v>
      </c>
      <c r="P29" s="1">
        <f>'11.4'!$G25</f>
        <v>10.192572999999999</v>
      </c>
      <c r="Q29" s="3">
        <f t="shared" si="15"/>
        <v>46.950731000000005</v>
      </c>
      <c r="R29" s="3" t="str">
        <f t="shared" si="10"/>
        <v/>
      </c>
      <c r="T29" s="1">
        <f t="shared" si="16"/>
        <v>43.216646999999995</v>
      </c>
      <c r="U29" s="1">
        <f t="shared" si="17"/>
        <v>56.397052000000002</v>
      </c>
      <c r="V29" s="1">
        <f t="shared" si="18"/>
        <v>47.801665249999999</v>
      </c>
    </row>
    <row r="30" spans="1:22" x14ac:dyDescent="0.2">
      <c r="A30" t="str">
        <f>'9.7.0.18'!$H26</f>
        <v>mv-mp-vo-tst-4-1-b-lengte-gewicht-persistent-v20.xml</v>
      </c>
      <c r="B30" s="5">
        <f>'9.7.0.18'!$C26</f>
        <v>20150</v>
      </c>
      <c r="C30" s="1">
        <f>'9.7.0.18'!$E26</f>
        <v>37.650770999999999</v>
      </c>
      <c r="D30" s="1">
        <f>'9.7.0.18'!$G26</f>
        <v>11.53037</v>
      </c>
      <c r="E30" s="3">
        <f t="shared" si="11"/>
        <v>49.181140999999997</v>
      </c>
      <c r="F30" s="3" t="str">
        <f t="shared" si="12"/>
        <v>H</v>
      </c>
      <c r="G30" s="1">
        <f>'9.8.0.15'!$E26</f>
        <v>36.056088000000003</v>
      </c>
      <c r="H30" s="1">
        <f>'9.8.0.15'!$G26</f>
        <v>9.93093</v>
      </c>
      <c r="I30" s="3">
        <f t="shared" si="13"/>
        <v>45.987018000000006</v>
      </c>
      <c r="J30" s="3" t="str">
        <f t="shared" si="6"/>
        <v/>
      </c>
      <c r="K30" s="1">
        <f>'9.9.1.8'!$E26</f>
        <v>34.991549999999997</v>
      </c>
      <c r="L30" s="1">
        <f>'9.9.1.8'!$G26</f>
        <v>10.540409</v>
      </c>
      <c r="M30" s="3">
        <f t="shared" si="14"/>
        <v>45.531959000000001</v>
      </c>
      <c r="N30" s="3" t="str">
        <f t="shared" si="8"/>
        <v>L</v>
      </c>
      <c r="O30" s="1">
        <f>'11.4'!$E26</f>
        <v>36.532556</v>
      </c>
      <c r="P30" s="1">
        <f>'11.4'!$G26</f>
        <v>10.317137000000001</v>
      </c>
      <c r="Q30" s="3">
        <f t="shared" si="15"/>
        <v>46.849693000000002</v>
      </c>
      <c r="R30" s="3" t="str">
        <f t="shared" si="10"/>
        <v/>
      </c>
      <c r="T30" s="1">
        <f t="shared" si="16"/>
        <v>45.531959000000001</v>
      </c>
      <c r="U30" s="1">
        <f t="shared" si="17"/>
        <v>49.181140999999997</v>
      </c>
      <c r="V30" s="1">
        <f t="shared" si="18"/>
        <v>46.887452750000001</v>
      </c>
    </row>
    <row r="31" spans="1:22" x14ac:dyDescent="0.2">
      <c r="A31" t="str">
        <f>'9.7.0.18'!$H27</f>
        <v>mv-mp-vo-tst-4-2-a-nierfunctie-NHG-v20.xml</v>
      </c>
      <c r="B31" s="5">
        <f>'9.7.0.18'!$C27</f>
        <v>17052</v>
      </c>
      <c r="C31" s="1">
        <f>'9.7.0.18'!$E27</f>
        <v>35.682082000000001</v>
      </c>
      <c r="D31" s="1">
        <f>'9.7.0.18'!$G27</f>
        <v>9.0166979999999999</v>
      </c>
      <c r="E31" s="3">
        <f t="shared" si="11"/>
        <v>44.698779999999999</v>
      </c>
      <c r="F31" s="3" t="str">
        <f t="shared" si="12"/>
        <v/>
      </c>
      <c r="G31" s="1">
        <f>'9.8.0.15'!$E27</f>
        <v>33.586995000000002</v>
      </c>
      <c r="H31" s="1">
        <f>'9.8.0.15'!$G27</f>
        <v>10.025563</v>
      </c>
      <c r="I31" s="3">
        <f t="shared" si="13"/>
        <v>43.612558</v>
      </c>
      <c r="J31" s="3" t="str">
        <f t="shared" si="6"/>
        <v/>
      </c>
      <c r="K31" s="1">
        <f>'9.9.1.8'!$E27</f>
        <v>34.104700000000001</v>
      </c>
      <c r="L31" s="1">
        <f>'9.9.1.8'!$G27</f>
        <v>9.0719659999999998</v>
      </c>
      <c r="M31" s="3">
        <f t="shared" si="14"/>
        <v>43.176665999999997</v>
      </c>
      <c r="N31" s="3" t="str">
        <f t="shared" si="8"/>
        <v>L</v>
      </c>
      <c r="O31" s="1">
        <f>'11.4'!$E27</f>
        <v>41.904758000000001</v>
      </c>
      <c r="P31" s="1">
        <f>'11.4'!$G27</f>
        <v>10.594976000000001</v>
      </c>
      <c r="Q31" s="3">
        <f t="shared" si="15"/>
        <v>52.499734000000004</v>
      </c>
      <c r="R31" s="3" t="str">
        <f t="shared" si="10"/>
        <v>H</v>
      </c>
      <c r="T31" s="1">
        <f t="shared" si="16"/>
        <v>43.176665999999997</v>
      </c>
      <c r="U31" s="1">
        <f t="shared" si="17"/>
        <v>52.499734000000004</v>
      </c>
      <c r="V31" s="1">
        <f t="shared" si="18"/>
        <v>45.996934499999995</v>
      </c>
    </row>
    <row r="32" spans="1:22" x14ac:dyDescent="0.2">
      <c r="A32" t="str">
        <f>'9.7.0.18'!$H28</f>
        <v>mv-mp-vo-tst-4-2-b-nierfunctie-loinc-zonder-panel-v20.xml</v>
      </c>
      <c r="B32" s="5">
        <f>'9.7.0.18'!$C28</f>
        <v>17067</v>
      </c>
      <c r="C32" s="1">
        <f>'9.7.0.18'!$E28</f>
        <v>35.370596999999997</v>
      </c>
      <c r="D32" s="1">
        <f>'9.7.0.18'!$G28</f>
        <v>8.9532500000000006</v>
      </c>
      <c r="E32" s="3">
        <f t="shared" si="11"/>
        <v>44.323847000000001</v>
      </c>
      <c r="F32" s="3" t="str">
        <f t="shared" si="12"/>
        <v/>
      </c>
      <c r="G32" s="1">
        <f>'9.8.0.15'!$E28</f>
        <v>35.295611000000001</v>
      </c>
      <c r="H32" s="1">
        <f>'9.8.0.15'!$G28</f>
        <v>9.2757280000000009</v>
      </c>
      <c r="I32" s="3">
        <f t="shared" si="13"/>
        <v>44.571339000000002</v>
      </c>
      <c r="J32" s="3" t="str">
        <f t="shared" si="6"/>
        <v/>
      </c>
      <c r="K32" s="1">
        <f>'9.9.1.8'!$E28</f>
        <v>34.839674000000002</v>
      </c>
      <c r="L32" s="1">
        <f>'9.9.1.8'!$G28</f>
        <v>9.4592890000000001</v>
      </c>
      <c r="M32" s="3">
        <f t="shared" si="14"/>
        <v>44.298963000000001</v>
      </c>
      <c r="N32" s="3" t="str">
        <f t="shared" si="8"/>
        <v>L</v>
      </c>
      <c r="O32" s="1">
        <f>'11.4'!$E28</f>
        <v>40.126716999999999</v>
      </c>
      <c r="P32" s="1">
        <f>'11.4'!$G28</f>
        <v>9.3258100000000006</v>
      </c>
      <c r="Q32" s="3">
        <f t="shared" si="15"/>
        <v>49.452527000000003</v>
      </c>
      <c r="R32" s="3" t="str">
        <f t="shared" si="10"/>
        <v>H</v>
      </c>
      <c r="T32" s="1">
        <f t="shared" si="16"/>
        <v>44.298963000000001</v>
      </c>
      <c r="U32" s="1">
        <f t="shared" si="17"/>
        <v>49.452527000000003</v>
      </c>
      <c r="V32" s="1">
        <f t="shared" si="18"/>
        <v>45.661668999999996</v>
      </c>
    </row>
    <row r="33" spans="1:22" x14ac:dyDescent="0.2">
      <c r="A33" t="str">
        <f>'9.7.0.18'!$H29</f>
        <v>mv-mp-vo-tst-6-1-variabele-frequentie-v20.xml</v>
      </c>
      <c r="B33" s="5">
        <f>'9.7.0.18'!$C29</f>
        <v>17230</v>
      </c>
      <c r="C33" s="1">
        <f>'9.7.0.18'!$E29</f>
        <v>35.133645000000001</v>
      </c>
      <c r="D33" s="1">
        <f>'9.7.0.18'!$G29</f>
        <v>13.124903</v>
      </c>
      <c r="E33" s="3">
        <f t="shared" si="11"/>
        <v>48.258548000000005</v>
      </c>
      <c r="F33" s="3" t="str">
        <f t="shared" si="12"/>
        <v/>
      </c>
      <c r="G33" s="1">
        <f>'9.8.0.15'!$E29</f>
        <v>35.148302999999999</v>
      </c>
      <c r="H33" s="1">
        <f>'9.8.0.15'!$G29</f>
        <v>9.0706410000000002</v>
      </c>
      <c r="I33" s="3">
        <f t="shared" si="13"/>
        <v>44.218944</v>
      </c>
      <c r="J33" s="3" t="str">
        <f t="shared" si="6"/>
        <v>L</v>
      </c>
      <c r="K33" s="1">
        <f>'9.9.1.8'!$E29</f>
        <v>34.964233</v>
      </c>
      <c r="L33" s="1">
        <f>'9.9.1.8'!$G29</f>
        <v>9.3650000000000002</v>
      </c>
      <c r="M33" s="3">
        <f t="shared" si="14"/>
        <v>44.329233000000002</v>
      </c>
      <c r="N33" s="3" t="str">
        <f t="shared" si="8"/>
        <v/>
      </c>
      <c r="O33" s="1">
        <f>'11.4'!$E29</f>
        <v>36.898989999999998</v>
      </c>
      <c r="P33" s="1">
        <f>'11.4'!$G29</f>
        <v>11.713660000000001</v>
      </c>
      <c r="Q33" s="3">
        <f t="shared" si="15"/>
        <v>48.612650000000002</v>
      </c>
      <c r="R33" s="3" t="str">
        <f t="shared" si="10"/>
        <v>H</v>
      </c>
      <c r="T33" s="1">
        <f t="shared" si="16"/>
        <v>44.218944</v>
      </c>
      <c r="U33" s="1">
        <f t="shared" si="17"/>
        <v>48.612650000000002</v>
      </c>
      <c r="V33" s="1">
        <f t="shared" si="18"/>
        <v>46.354843750000008</v>
      </c>
    </row>
    <row r="34" spans="1:22" x14ac:dyDescent="0.2">
      <c r="A34" t="str">
        <f>'9.7.0.18'!$H30</f>
        <v>mv-mp-vo-tst-6-10-cyclisch-schema-v20.xml</v>
      </c>
      <c r="B34" s="5">
        <f>'9.7.0.18'!$C30</f>
        <v>17849</v>
      </c>
      <c r="C34" s="1">
        <f>'9.7.0.18'!$E30</f>
        <v>40.851064999999998</v>
      </c>
      <c r="D34" s="1">
        <f>'9.7.0.18'!$G30</f>
        <v>10.224318</v>
      </c>
      <c r="E34" s="3">
        <f t="shared" si="11"/>
        <v>51.075383000000002</v>
      </c>
      <c r="F34" s="3" t="str">
        <f t="shared" si="12"/>
        <v/>
      </c>
      <c r="G34" s="1">
        <f>'9.8.0.15'!$E30</f>
        <v>33.494131000000003</v>
      </c>
      <c r="H34" s="1">
        <f>'9.8.0.15'!$G30</f>
        <v>8.6492090000000008</v>
      </c>
      <c r="I34" s="3">
        <f t="shared" si="13"/>
        <v>42.143340000000002</v>
      </c>
      <c r="J34" s="3" t="str">
        <f t="shared" si="6"/>
        <v>L</v>
      </c>
      <c r="K34" s="1">
        <f>'9.9.1.8'!$E30</f>
        <v>34.497354000000001</v>
      </c>
      <c r="L34" s="1">
        <f>'9.9.1.8'!$G30</f>
        <v>9.1274909999999991</v>
      </c>
      <c r="M34" s="3">
        <f t="shared" si="14"/>
        <v>43.624845000000001</v>
      </c>
      <c r="N34" s="3" t="str">
        <f t="shared" si="8"/>
        <v/>
      </c>
      <c r="O34" s="1">
        <f>'11.4'!$E30</f>
        <v>47.299858999999998</v>
      </c>
      <c r="P34" s="1">
        <f>'11.4'!$G30</f>
        <v>9.8946489999999994</v>
      </c>
      <c r="Q34" s="3">
        <f t="shared" si="15"/>
        <v>57.194507999999999</v>
      </c>
      <c r="R34" s="3" t="str">
        <f t="shared" si="10"/>
        <v>H</v>
      </c>
      <c r="T34" s="1">
        <f t="shared" si="16"/>
        <v>42.143340000000002</v>
      </c>
      <c r="U34" s="1">
        <f t="shared" si="17"/>
        <v>57.194507999999999</v>
      </c>
      <c r="V34" s="1">
        <f t="shared" si="18"/>
        <v>48.509518999999997</v>
      </c>
    </row>
    <row r="35" spans="1:22" x14ac:dyDescent="0.2">
      <c r="A35" t="str">
        <f>'9.7.0.18'!$H31</f>
        <v>mv-mp-vo-tst-6-11-afbouwschema-v20.xml</v>
      </c>
      <c r="B35" s="5">
        <f>'9.7.0.18'!$C31</f>
        <v>20789</v>
      </c>
      <c r="C35" s="1">
        <f>'9.7.0.18'!$E31</f>
        <v>46.712318000000003</v>
      </c>
      <c r="D35" s="1">
        <f>'9.7.0.18'!$G31</f>
        <v>11.980942000000001</v>
      </c>
      <c r="E35" s="3">
        <f t="shared" si="11"/>
        <v>58.693260000000002</v>
      </c>
      <c r="F35" s="3" t="str">
        <f t="shared" si="12"/>
        <v>H</v>
      </c>
      <c r="G35" s="1">
        <f>'9.8.0.15'!$E31</f>
        <v>39.956470000000003</v>
      </c>
      <c r="H35" s="1">
        <f>'9.8.0.15'!$G31</f>
        <v>10.222453</v>
      </c>
      <c r="I35" s="3">
        <f t="shared" si="13"/>
        <v>50.178923000000005</v>
      </c>
      <c r="J35" s="3" t="str">
        <f t="shared" si="6"/>
        <v/>
      </c>
      <c r="K35" s="1">
        <f>'9.9.1.8'!$E31</f>
        <v>37.319006000000002</v>
      </c>
      <c r="L35" s="1">
        <f>'9.9.1.8'!$G31</f>
        <v>9.8484079999999992</v>
      </c>
      <c r="M35" s="3">
        <f t="shared" si="14"/>
        <v>47.167414000000001</v>
      </c>
      <c r="N35" s="3" t="str">
        <f t="shared" si="8"/>
        <v>L</v>
      </c>
      <c r="O35" s="1">
        <f>'11.4'!$E31</f>
        <v>37.278885000000002</v>
      </c>
      <c r="P35" s="1">
        <f>'11.4'!$G31</f>
        <v>11.146834</v>
      </c>
      <c r="Q35" s="3">
        <f t="shared" si="15"/>
        <v>48.425719000000001</v>
      </c>
      <c r="R35" s="3" t="str">
        <f t="shared" si="10"/>
        <v/>
      </c>
      <c r="T35" s="1">
        <f t="shared" si="16"/>
        <v>47.167414000000001</v>
      </c>
      <c r="U35" s="1">
        <f t="shared" si="17"/>
        <v>58.693260000000002</v>
      </c>
      <c r="V35" s="1">
        <f t="shared" si="18"/>
        <v>51.116329000000007</v>
      </c>
    </row>
    <row r="36" spans="1:22" x14ac:dyDescent="0.2">
      <c r="A36" t="str">
        <f>'9.7.0.18'!$H32</f>
        <v>mv-mp-vo-tst-6-12-variabele-hoeveelheid-en-maximum-v20.xml</v>
      </c>
      <c r="B36" s="5">
        <f>'9.7.0.18'!$C32</f>
        <v>19254</v>
      </c>
      <c r="C36" s="1">
        <f>'9.7.0.18'!$E32</f>
        <v>37.072490000000002</v>
      </c>
      <c r="D36" s="1">
        <f>'9.7.0.18'!$G32</f>
        <v>10.616472999999999</v>
      </c>
      <c r="E36" s="3">
        <f t="shared" si="11"/>
        <v>47.688963000000001</v>
      </c>
      <c r="F36" s="3" t="str">
        <f t="shared" si="12"/>
        <v/>
      </c>
      <c r="G36" s="1">
        <f>'9.8.0.15'!$E32</f>
        <v>35.610410999999999</v>
      </c>
      <c r="H36" s="1">
        <f>'9.8.0.15'!$G32</f>
        <v>9.4246569999999998</v>
      </c>
      <c r="I36" s="3">
        <f t="shared" si="13"/>
        <v>45.035067999999995</v>
      </c>
      <c r="J36" s="3" t="str">
        <f t="shared" si="6"/>
        <v>L</v>
      </c>
      <c r="K36" s="1">
        <f>'9.9.1.8'!$E32</f>
        <v>38.627018</v>
      </c>
      <c r="L36" s="1">
        <f>'9.9.1.8'!$G32</f>
        <v>9.657152</v>
      </c>
      <c r="M36" s="3">
        <f t="shared" si="14"/>
        <v>48.284170000000003</v>
      </c>
      <c r="N36" s="3" t="str">
        <f t="shared" si="8"/>
        <v>H</v>
      </c>
      <c r="O36" s="1">
        <f>'11.4'!$E32</f>
        <v>37.014201999999997</v>
      </c>
      <c r="P36" s="1">
        <f>'11.4'!$G32</f>
        <v>9.5570970000000006</v>
      </c>
      <c r="Q36" s="3">
        <f t="shared" si="15"/>
        <v>46.571298999999996</v>
      </c>
      <c r="R36" s="3" t="str">
        <f t="shared" si="10"/>
        <v/>
      </c>
      <c r="T36" s="1">
        <f t="shared" si="16"/>
        <v>45.035067999999995</v>
      </c>
      <c r="U36" s="1">
        <f t="shared" si="17"/>
        <v>48.284170000000003</v>
      </c>
      <c r="V36" s="1">
        <f t="shared" si="18"/>
        <v>46.894874999999999</v>
      </c>
    </row>
    <row r="37" spans="1:22" x14ac:dyDescent="0.2">
      <c r="A37" t="str">
        <f>'9.7.0.18'!$H33</f>
        <v>mv-mp-vo-tst-6-13-toedieningssnelheid-v20.xml</v>
      </c>
      <c r="B37" s="5">
        <f>'9.7.0.18'!$C33</f>
        <v>16904</v>
      </c>
      <c r="C37" s="1">
        <f>'9.7.0.18'!$E33</f>
        <v>37.356129000000003</v>
      </c>
      <c r="D37" s="1">
        <f>'9.7.0.18'!$G33</f>
        <v>10.592492999999999</v>
      </c>
      <c r="E37" s="3">
        <f t="shared" si="11"/>
        <v>47.948622</v>
      </c>
      <c r="F37" s="3" t="str">
        <f t="shared" si="12"/>
        <v>H</v>
      </c>
      <c r="G37" s="1">
        <f>'9.8.0.15'!$E33</f>
        <v>34.753081000000002</v>
      </c>
      <c r="H37" s="1">
        <f>'9.8.0.15'!$G33</f>
        <v>9.3403910000000003</v>
      </c>
      <c r="I37" s="3">
        <f t="shared" si="13"/>
        <v>44.093472000000006</v>
      </c>
      <c r="J37" s="3" t="str">
        <f t="shared" si="6"/>
        <v>L</v>
      </c>
      <c r="K37" s="1">
        <f>'9.9.1.8'!$E33</f>
        <v>35.633935999999999</v>
      </c>
      <c r="L37" s="1">
        <f>'9.9.1.8'!$G33</f>
        <v>10.542941000000001</v>
      </c>
      <c r="M37" s="3">
        <f t="shared" si="14"/>
        <v>46.176876999999998</v>
      </c>
      <c r="N37" s="3" t="str">
        <f t="shared" si="8"/>
        <v/>
      </c>
      <c r="O37" s="1">
        <f>'11.4'!$E33</f>
        <v>36.578291999999998</v>
      </c>
      <c r="P37" s="1">
        <f>'11.4'!$G33</f>
        <v>10.367044999999999</v>
      </c>
      <c r="Q37" s="3">
        <f t="shared" si="15"/>
        <v>46.945336999999995</v>
      </c>
      <c r="R37" s="3" t="str">
        <f t="shared" si="10"/>
        <v/>
      </c>
      <c r="T37" s="1">
        <f t="shared" si="16"/>
        <v>44.093472000000006</v>
      </c>
      <c r="U37" s="1">
        <f t="shared" si="17"/>
        <v>47.948622</v>
      </c>
      <c r="V37" s="1">
        <f t="shared" si="18"/>
        <v>46.291077000000001</v>
      </c>
    </row>
    <row r="38" spans="1:22" x14ac:dyDescent="0.2">
      <c r="A38" t="str">
        <f>'9.7.0.18'!$H34</f>
        <v>mv-mp-vo-tst-6-14-toedieningsduur-v20.xml</v>
      </c>
      <c r="B38" s="5">
        <f>'9.7.0.18'!$C34</f>
        <v>17261</v>
      </c>
      <c r="C38" s="1">
        <f>'9.7.0.18'!$E34</f>
        <v>38.506582999999999</v>
      </c>
      <c r="D38" s="1">
        <f>'9.7.0.18'!$G34</f>
        <v>9.8235270000000003</v>
      </c>
      <c r="E38" s="3">
        <f t="shared" si="11"/>
        <v>48.330109999999998</v>
      </c>
      <c r="F38" s="3" t="str">
        <f t="shared" si="12"/>
        <v>H</v>
      </c>
      <c r="G38" s="1">
        <f>'9.8.0.15'!$E34</f>
        <v>33.905538999999997</v>
      </c>
      <c r="H38" s="1">
        <f>'9.8.0.15'!$G34</f>
        <v>9.0087449999999993</v>
      </c>
      <c r="I38" s="3">
        <f t="shared" si="13"/>
        <v>42.914283999999995</v>
      </c>
      <c r="J38" s="3" t="str">
        <f t="shared" si="6"/>
        <v/>
      </c>
      <c r="K38" s="1">
        <f>'9.9.1.8'!$E34</f>
        <v>33.507831000000003</v>
      </c>
      <c r="L38" s="1">
        <f>'9.9.1.8'!$G34</f>
        <v>9.1423170000000002</v>
      </c>
      <c r="M38" s="3">
        <f t="shared" si="14"/>
        <v>42.650148000000002</v>
      </c>
      <c r="N38" s="3" t="str">
        <f t="shared" si="8"/>
        <v>L</v>
      </c>
      <c r="O38" s="1">
        <f>'11.4'!$E34</f>
        <v>35.218305000000001</v>
      </c>
      <c r="P38" s="1">
        <f>'11.4'!$G34</f>
        <v>8.9966439999999999</v>
      </c>
      <c r="Q38" s="3">
        <f t="shared" si="15"/>
        <v>44.214949000000004</v>
      </c>
      <c r="R38" s="3" t="str">
        <f t="shared" si="10"/>
        <v/>
      </c>
      <c r="T38" s="1">
        <f t="shared" si="16"/>
        <v>42.650148000000002</v>
      </c>
      <c r="U38" s="1">
        <f t="shared" si="17"/>
        <v>48.330109999999998</v>
      </c>
      <c r="V38" s="1">
        <f t="shared" si="18"/>
        <v>44.527372749999998</v>
      </c>
    </row>
    <row r="39" spans="1:22" x14ac:dyDescent="0.2">
      <c r="A39" t="str">
        <f>'9.7.0.18'!$H35</f>
        <v>mv-mp-vo-tst-6-15-zonodig-v20.xml</v>
      </c>
      <c r="B39" s="5">
        <f>'9.7.0.18'!$C35</f>
        <v>17438</v>
      </c>
      <c r="C39" s="1">
        <f>'9.7.0.18'!$E35</f>
        <v>46.791893000000002</v>
      </c>
      <c r="D39" s="1">
        <f>'9.7.0.18'!$G35</f>
        <v>10.038233</v>
      </c>
      <c r="E39" s="3">
        <f t="shared" si="11"/>
        <v>56.830126</v>
      </c>
      <c r="F39" s="3" t="str">
        <f t="shared" si="12"/>
        <v>H</v>
      </c>
      <c r="G39" s="1">
        <f>'9.8.0.15'!$E35</f>
        <v>36.072512000000003</v>
      </c>
      <c r="H39" s="1">
        <f>'9.8.0.15'!$G35</f>
        <v>10.231247</v>
      </c>
      <c r="I39" s="3">
        <f t="shared" si="13"/>
        <v>46.303758999999999</v>
      </c>
      <c r="J39" s="3" t="str">
        <f t="shared" si="6"/>
        <v/>
      </c>
      <c r="K39" s="1">
        <f>'9.9.1.8'!$E35</f>
        <v>34.493175999999998</v>
      </c>
      <c r="L39" s="1">
        <f>'9.9.1.8'!$G35</f>
        <v>9.0103530000000003</v>
      </c>
      <c r="M39" s="3">
        <f t="shared" si="14"/>
        <v>43.503529</v>
      </c>
      <c r="N39" s="3" t="str">
        <f t="shared" si="8"/>
        <v>L</v>
      </c>
      <c r="O39" s="1">
        <f>'11.4'!$E35</f>
        <v>36.186836999999997</v>
      </c>
      <c r="P39" s="1">
        <f>'11.4'!$G35</f>
        <v>10.153024</v>
      </c>
      <c r="Q39" s="3">
        <f t="shared" si="15"/>
        <v>46.339860999999999</v>
      </c>
      <c r="R39" s="3" t="str">
        <f t="shared" si="10"/>
        <v/>
      </c>
      <c r="T39" s="1">
        <f t="shared" si="16"/>
        <v>43.503529</v>
      </c>
      <c r="U39" s="1">
        <f t="shared" si="17"/>
        <v>56.830126</v>
      </c>
      <c r="V39" s="1">
        <f t="shared" si="18"/>
        <v>48.244318749999991</v>
      </c>
    </row>
    <row r="40" spans="1:22" x14ac:dyDescent="0.2">
      <c r="A40" t="str">
        <f>'9.7.0.18'!$H36</f>
        <v>mv-mp-vo-tst-6-2-interval-v20.xml</v>
      </c>
      <c r="B40" s="5">
        <f>'9.7.0.18'!$C36</f>
        <v>17213</v>
      </c>
      <c r="C40" s="1">
        <f>'9.7.0.18'!$E36</f>
        <v>35.055762000000001</v>
      </c>
      <c r="D40" s="1">
        <f>'9.7.0.18'!$G36</f>
        <v>9.5086739999999992</v>
      </c>
      <c r="E40" s="3">
        <f t="shared" si="11"/>
        <v>44.564436000000001</v>
      </c>
      <c r="F40" s="3" t="str">
        <f t="shared" si="12"/>
        <v/>
      </c>
      <c r="G40" s="1">
        <f>'9.8.0.15'!$E36</f>
        <v>34.970686000000001</v>
      </c>
      <c r="H40" s="1">
        <f>'9.8.0.15'!$G36</f>
        <v>9.1774290000000001</v>
      </c>
      <c r="I40" s="3">
        <f t="shared" si="13"/>
        <v>44.148115000000004</v>
      </c>
      <c r="J40" s="3" t="str">
        <f t="shared" si="6"/>
        <v/>
      </c>
      <c r="K40" s="1">
        <f>'9.9.1.8'!$E36</f>
        <v>31.478650999999999</v>
      </c>
      <c r="L40" s="1">
        <f>'9.9.1.8'!$G36</f>
        <v>8.4395019999999992</v>
      </c>
      <c r="M40" s="3">
        <f t="shared" si="14"/>
        <v>39.918152999999997</v>
      </c>
      <c r="N40" s="3" t="str">
        <f t="shared" si="8"/>
        <v>L</v>
      </c>
      <c r="O40" s="1">
        <f>'11.4'!$E36</f>
        <v>36.659061999999999</v>
      </c>
      <c r="P40" s="1">
        <f>'11.4'!$G36</f>
        <v>9.8278049999999997</v>
      </c>
      <c r="Q40" s="3">
        <f t="shared" si="15"/>
        <v>46.486866999999997</v>
      </c>
      <c r="R40" s="3" t="str">
        <f t="shared" si="10"/>
        <v>H</v>
      </c>
      <c r="T40" s="1">
        <f t="shared" si="16"/>
        <v>39.918152999999997</v>
      </c>
      <c r="U40" s="1">
        <f t="shared" si="17"/>
        <v>46.486866999999997</v>
      </c>
      <c r="V40" s="1">
        <f t="shared" si="18"/>
        <v>43.77939275</v>
      </c>
    </row>
    <row r="41" spans="1:22" x14ac:dyDescent="0.2">
      <c r="A41" t="str">
        <f>'9.7.0.18'!$H37</f>
        <v>mv-mp-vo-tst-6-3-variabele-hoeveelheid-v20.xml</v>
      </c>
      <c r="B41" s="5">
        <f>'9.7.0.18'!$C37</f>
        <v>17983</v>
      </c>
      <c r="C41" s="1">
        <f>'9.7.0.18'!$E37</f>
        <v>35.061039000000001</v>
      </c>
      <c r="D41" s="1">
        <f>'9.7.0.18'!$G37</f>
        <v>10.193989999999999</v>
      </c>
      <c r="E41" s="3">
        <f t="shared" si="11"/>
        <v>45.255029</v>
      </c>
      <c r="F41" s="3" t="str">
        <f t="shared" si="12"/>
        <v/>
      </c>
      <c r="G41" s="1">
        <f>'9.8.0.15'!$E37</f>
        <v>34.804904000000001</v>
      </c>
      <c r="H41" s="1">
        <f>'9.8.0.15'!$G37</f>
        <v>10.225538999999999</v>
      </c>
      <c r="I41" s="3">
        <f t="shared" si="13"/>
        <v>45.030442999999998</v>
      </c>
      <c r="J41" s="3" t="str">
        <f t="shared" si="6"/>
        <v>L</v>
      </c>
      <c r="K41" s="1">
        <f>'9.9.1.8'!$E37</f>
        <v>33.711364000000003</v>
      </c>
      <c r="L41" s="1">
        <f>'9.9.1.8'!$G37</f>
        <v>11.431995000000001</v>
      </c>
      <c r="M41" s="3">
        <f t="shared" si="14"/>
        <v>45.143359000000004</v>
      </c>
      <c r="N41" s="3" t="str">
        <f t="shared" si="8"/>
        <v/>
      </c>
      <c r="O41" s="1">
        <f>'11.4'!$E37</f>
        <v>37.877752999999998</v>
      </c>
      <c r="P41" s="1">
        <f>'11.4'!$G37</f>
        <v>9.7257069999999999</v>
      </c>
      <c r="Q41" s="3">
        <f t="shared" si="15"/>
        <v>47.603459999999998</v>
      </c>
      <c r="R41" s="3" t="str">
        <f t="shared" si="10"/>
        <v>H</v>
      </c>
      <c r="T41" s="1">
        <f t="shared" si="16"/>
        <v>45.030442999999998</v>
      </c>
      <c r="U41" s="1">
        <f t="shared" si="17"/>
        <v>47.603459999999998</v>
      </c>
      <c r="V41" s="1">
        <f t="shared" si="18"/>
        <v>45.758072749999997</v>
      </c>
    </row>
    <row r="42" spans="1:22" x14ac:dyDescent="0.2">
      <c r="A42" t="str">
        <f>'9.7.0.18'!$H38</f>
        <v>mv-mp-vo-tst-6-4-zonder-keerdosis-v20.xml</v>
      </c>
      <c r="B42" s="5">
        <f>'9.7.0.18'!$C38</f>
        <v>16784</v>
      </c>
      <c r="C42" s="1">
        <f>'9.7.0.18'!$E38</f>
        <v>37.129159999999999</v>
      </c>
      <c r="D42" s="1">
        <f>'9.7.0.18'!$G38</f>
        <v>11.696927000000001</v>
      </c>
      <c r="E42" s="3">
        <f t="shared" si="11"/>
        <v>48.826087000000001</v>
      </c>
      <c r="F42" s="3" t="str">
        <f t="shared" si="12"/>
        <v>H</v>
      </c>
      <c r="G42" s="1">
        <f>'9.8.0.15'!$E38</f>
        <v>38.552872000000001</v>
      </c>
      <c r="H42" s="1">
        <f>'9.8.0.15'!$G38</f>
        <v>9.3345979999999997</v>
      </c>
      <c r="I42" s="3">
        <f t="shared" si="13"/>
        <v>47.88747</v>
      </c>
      <c r="J42" s="3" t="str">
        <f t="shared" si="6"/>
        <v/>
      </c>
      <c r="K42" s="1">
        <f>'9.9.1.8'!$E38</f>
        <v>34.225752999999997</v>
      </c>
      <c r="L42" s="1">
        <f>'9.9.1.8'!$G38</f>
        <v>9.5567430000000009</v>
      </c>
      <c r="M42" s="3">
        <f t="shared" si="14"/>
        <v>43.782495999999995</v>
      </c>
      <c r="N42" s="3" t="str">
        <f t="shared" si="8"/>
        <v>L</v>
      </c>
      <c r="O42" s="1">
        <f>'11.4'!$E38</f>
        <v>35.281219</v>
      </c>
      <c r="P42" s="1">
        <f>'11.4'!$G38</f>
        <v>9.8830419999999997</v>
      </c>
      <c r="Q42" s="3">
        <f t="shared" si="15"/>
        <v>45.164260999999996</v>
      </c>
      <c r="R42" s="3" t="str">
        <f t="shared" si="10"/>
        <v/>
      </c>
      <c r="T42" s="1">
        <f t="shared" si="16"/>
        <v>43.782495999999995</v>
      </c>
      <c r="U42" s="1">
        <f t="shared" si="17"/>
        <v>48.826087000000001</v>
      </c>
      <c r="V42" s="1">
        <f t="shared" si="18"/>
        <v>46.415078500000007</v>
      </c>
    </row>
    <row r="43" spans="1:22" x14ac:dyDescent="0.2">
      <c r="A43" t="str">
        <f>'9.7.0.18'!$H39</f>
        <v>mv-mp-vo-tst-6-5-bijzondere-keerdosis-v20.xml</v>
      </c>
      <c r="B43" s="5">
        <f>'9.7.0.18'!$C39</f>
        <v>17150</v>
      </c>
      <c r="C43" s="1">
        <f>'9.7.0.18'!$E39</f>
        <v>36.288584</v>
      </c>
      <c r="D43" s="1">
        <f>'9.7.0.18'!$G39</f>
        <v>9.9059880000000007</v>
      </c>
      <c r="E43" s="3">
        <f t="shared" si="11"/>
        <v>46.194572000000001</v>
      </c>
      <c r="F43" s="3" t="str">
        <f t="shared" si="12"/>
        <v/>
      </c>
      <c r="G43" s="1">
        <f>'9.8.0.15'!$E39</f>
        <v>35.388044000000001</v>
      </c>
      <c r="H43" s="1">
        <f>'9.8.0.15'!$G39</f>
        <v>9.6938530000000007</v>
      </c>
      <c r="I43" s="3">
        <f t="shared" si="13"/>
        <v>45.081896999999998</v>
      </c>
      <c r="J43" s="3" t="str">
        <f t="shared" si="6"/>
        <v>L</v>
      </c>
      <c r="K43" s="1">
        <f>'9.9.1.8'!$E39</f>
        <v>39.191665</v>
      </c>
      <c r="L43" s="1">
        <f>'9.9.1.8'!$G39</f>
        <v>10.884050999999999</v>
      </c>
      <c r="M43" s="3">
        <f t="shared" si="14"/>
        <v>50.075716</v>
      </c>
      <c r="N43" s="3" t="str">
        <f t="shared" si="8"/>
        <v>H</v>
      </c>
      <c r="O43" s="1">
        <f>'11.4'!$E39</f>
        <v>37.057122999999997</v>
      </c>
      <c r="P43" s="1">
        <f>'11.4'!$G39</f>
        <v>10.565127</v>
      </c>
      <c r="Q43" s="3">
        <f t="shared" si="15"/>
        <v>47.622249999999994</v>
      </c>
      <c r="R43" s="3" t="str">
        <f t="shared" si="10"/>
        <v/>
      </c>
      <c r="T43" s="1">
        <f t="shared" si="16"/>
        <v>45.081896999999998</v>
      </c>
      <c r="U43" s="1">
        <f t="shared" si="17"/>
        <v>50.075716</v>
      </c>
      <c r="V43" s="1">
        <f t="shared" si="18"/>
        <v>47.243608749999993</v>
      </c>
    </row>
    <row r="44" spans="1:22" x14ac:dyDescent="0.2">
      <c r="A44" t="str">
        <f>'9.7.0.18'!$H40</f>
        <v>mv-mp-vo-tst-6-6-variabele-hoeveelheid-2-v20.xml</v>
      </c>
      <c r="B44" s="5">
        <f>'9.7.0.18'!$C40</f>
        <v>18976</v>
      </c>
      <c r="C44" s="1">
        <f>'9.7.0.18'!$E40</f>
        <v>35.000985</v>
      </c>
      <c r="D44" s="1">
        <f>'9.7.0.18'!$G40</f>
        <v>9.3871939999999991</v>
      </c>
      <c r="E44" s="3">
        <f t="shared" si="11"/>
        <v>44.388179000000001</v>
      </c>
      <c r="F44" s="3" t="str">
        <f t="shared" si="12"/>
        <v/>
      </c>
      <c r="G44" s="1">
        <f>'9.8.0.15'!$E40</f>
        <v>36.371921</v>
      </c>
      <c r="H44" s="1">
        <f>'9.8.0.15'!$G40</f>
        <v>10.299726</v>
      </c>
      <c r="I44" s="3">
        <f t="shared" si="13"/>
        <v>46.671647</v>
      </c>
      <c r="J44" s="3" t="str">
        <f t="shared" si="6"/>
        <v/>
      </c>
      <c r="K44" s="1">
        <f>'9.9.1.8'!$E40</f>
        <v>32.700153999999998</v>
      </c>
      <c r="L44" s="1">
        <f>'9.9.1.8'!$G40</f>
        <v>9.6601669999999995</v>
      </c>
      <c r="M44" s="3">
        <f t="shared" si="14"/>
        <v>42.360320999999999</v>
      </c>
      <c r="N44" s="3" t="str">
        <f t="shared" si="8"/>
        <v>L</v>
      </c>
      <c r="O44" s="1">
        <f>'11.4'!$E40</f>
        <v>39.893293</v>
      </c>
      <c r="P44" s="1">
        <f>'11.4'!$G40</f>
        <v>10.924943000000001</v>
      </c>
      <c r="Q44" s="3">
        <f t="shared" si="15"/>
        <v>50.818235999999999</v>
      </c>
      <c r="R44" s="3" t="str">
        <f t="shared" si="10"/>
        <v>H</v>
      </c>
      <c r="T44" s="1">
        <f t="shared" si="16"/>
        <v>42.360320999999999</v>
      </c>
      <c r="U44" s="1">
        <f t="shared" si="17"/>
        <v>50.818235999999999</v>
      </c>
      <c r="V44" s="1">
        <f t="shared" si="18"/>
        <v>46.05959575</v>
      </c>
    </row>
    <row r="45" spans="1:22" x14ac:dyDescent="0.2">
      <c r="A45" t="str">
        <f>'9.7.0.18'!$H41</f>
        <v>mv-mp-vo-tst-6-7a-tijdstippen-flexibel-v20.xml</v>
      </c>
      <c r="B45" s="5">
        <f>'9.7.0.18'!$C41</f>
        <v>17380</v>
      </c>
      <c r="C45" s="1">
        <f>'9.7.0.18'!$E41</f>
        <v>33.436135</v>
      </c>
      <c r="D45" s="1">
        <f>'9.7.0.18'!$G41</f>
        <v>10.076762</v>
      </c>
      <c r="E45" s="3">
        <f t="shared" si="11"/>
        <v>43.512897000000002</v>
      </c>
      <c r="F45" s="3" t="str">
        <f t="shared" si="12"/>
        <v>L</v>
      </c>
      <c r="G45" s="1">
        <f>'9.8.0.15'!$E41</f>
        <v>37.472779000000003</v>
      </c>
      <c r="H45" s="1">
        <f>'9.8.0.15'!$G41</f>
        <v>10.590533000000001</v>
      </c>
      <c r="I45" s="3">
        <f t="shared" si="13"/>
        <v>48.063312000000003</v>
      </c>
      <c r="J45" s="3" t="str">
        <f t="shared" si="6"/>
        <v>H</v>
      </c>
      <c r="K45" s="1">
        <f>'9.9.1.8'!$E41</f>
        <v>35.503005999999999</v>
      </c>
      <c r="L45" s="1">
        <f>'9.9.1.8'!$G41</f>
        <v>10.341828</v>
      </c>
      <c r="M45" s="3">
        <f t="shared" si="14"/>
        <v>45.844833999999999</v>
      </c>
      <c r="N45" s="3" t="str">
        <f t="shared" si="8"/>
        <v/>
      </c>
      <c r="O45" s="1">
        <f>'11.4'!$E41</f>
        <v>36.699114000000002</v>
      </c>
      <c r="P45" s="1">
        <f>'11.4'!$G41</f>
        <v>10.224062</v>
      </c>
      <c r="Q45" s="3">
        <f t="shared" si="15"/>
        <v>46.923175999999998</v>
      </c>
      <c r="R45" s="3" t="str">
        <f t="shared" si="10"/>
        <v/>
      </c>
      <c r="T45" s="1">
        <f t="shared" si="16"/>
        <v>43.512897000000002</v>
      </c>
      <c r="U45" s="1">
        <f t="shared" si="17"/>
        <v>48.063312000000003</v>
      </c>
      <c r="V45" s="1">
        <f t="shared" si="18"/>
        <v>46.086054750000002</v>
      </c>
    </row>
    <row r="46" spans="1:22" x14ac:dyDescent="0.2">
      <c r="A46" t="str">
        <f>'9.7.0.18'!$H42</f>
        <v>mv-mp-vo-tst-6-7b-tijdstippen-niet-flexibel-v20.xml</v>
      </c>
      <c r="B46" s="5">
        <f>'9.7.0.18'!$C42</f>
        <v>17453</v>
      </c>
      <c r="C46" s="1">
        <f>'9.7.0.18'!$E42</f>
        <v>37.097562000000003</v>
      </c>
      <c r="D46" s="1">
        <f>'9.7.0.18'!$G42</f>
        <v>10.791850999999999</v>
      </c>
      <c r="E46" s="3">
        <f t="shared" si="11"/>
        <v>47.889413000000005</v>
      </c>
      <c r="F46" s="3" t="str">
        <f t="shared" si="12"/>
        <v/>
      </c>
      <c r="G46" s="1">
        <f>'9.8.0.15'!$E42</f>
        <v>36.396268999999997</v>
      </c>
      <c r="H46" s="1">
        <f>'9.8.0.15'!$G42</f>
        <v>9.8114089999999994</v>
      </c>
      <c r="I46" s="3">
        <f t="shared" si="13"/>
        <v>46.207677999999994</v>
      </c>
      <c r="J46" s="3" t="str">
        <f t="shared" si="6"/>
        <v/>
      </c>
      <c r="K46" s="1">
        <f>'9.9.1.8'!$E42</f>
        <v>34.323714000000002</v>
      </c>
      <c r="L46" s="1">
        <f>'9.9.1.8'!$G42</f>
        <v>9.7754589999999997</v>
      </c>
      <c r="M46" s="3">
        <f t="shared" si="14"/>
        <v>44.099173</v>
      </c>
      <c r="N46" s="3" t="str">
        <f t="shared" si="8"/>
        <v>L</v>
      </c>
      <c r="O46" s="1">
        <f>'11.4'!$E42</f>
        <v>41.05498</v>
      </c>
      <c r="P46" s="1">
        <f>'11.4'!$G42</f>
        <v>9.7637879999999999</v>
      </c>
      <c r="Q46" s="3">
        <f t="shared" si="15"/>
        <v>50.818767999999999</v>
      </c>
      <c r="R46" s="3" t="str">
        <f t="shared" si="10"/>
        <v>H</v>
      </c>
      <c r="T46" s="1">
        <f t="shared" si="16"/>
        <v>44.099173</v>
      </c>
      <c r="U46" s="1">
        <f t="shared" si="17"/>
        <v>50.818767999999999</v>
      </c>
      <c r="V46" s="1">
        <f t="shared" si="18"/>
        <v>47.253758000000005</v>
      </c>
    </row>
    <row r="47" spans="1:22" x14ac:dyDescent="0.2">
      <c r="A47" t="str">
        <f>'9.7.0.18'!$H43</f>
        <v>mv-mp-vo-tst-6-8-weekdagen-v20.xml</v>
      </c>
      <c r="B47" s="5">
        <f>'9.7.0.18'!$C43</f>
        <v>17074</v>
      </c>
      <c r="C47" s="1">
        <f>'9.7.0.18'!$E43</f>
        <v>36.487746999999999</v>
      </c>
      <c r="D47" s="1">
        <f>'9.7.0.18'!$G43</f>
        <v>10.975035999999999</v>
      </c>
      <c r="E47" s="3">
        <f t="shared" si="11"/>
        <v>47.462783000000002</v>
      </c>
      <c r="F47" s="3" t="str">
        <f t="shared" si="12"/>
        <v>H</v>
      </c>
      <c r="G47" s="1">
        <f>'9.8.0.15'!$E43</f>
        <v>35.063335000000002</v>
      </c>
      <c r="H47" s="1">
        <f>'9.8.0.15'!$G43</f>
        <v>9.6831449999999997</v>
      </c>
      <c r="I47" s="3">
        <f t="shared" si="13"/>
        <v>44.746480000000005</v>
      </c>
      <c r="J47" s="3" t="str">
        <f t="shared" si="6"/>
        <v/>
      </c>
      <c r="K47" s="1">
        <f>'9.9.1.8'!$E43</f>
        <v>34.074016999999998</v>
      </c>
      <c r="L47" s="1">
        <f>'9.9.1.8'!$G43</f>
        <v>8.990793</v>
      </c>
      <c r="M47" s="3">
        <f t="shared" si="14"/>
        <v>43.064809999999994</v>
      </c>
      <c r="N47" s="3" t="str">
        <f t="shared" si="8"/>
        <v>L</v>
      </c>
      <c r="O47" s="1">
        <f>'11.4'!$E43</f>
        <v>36.501908</v>
      </c>
      <c r="P47" s="1">
        <f>'11.4'!$G43</f>
        <v>9.7685300000000002</v>
      </c>
      <c r="Q47" s="3">
        <f t="shared" si="15"/>
        <v>46.270437999999999</v>
      </c>
      <c r="R47" s="3" t="str">
        <f t="shared" si="10"/>
        <v/>
      </c>
      <c r="T47" s="1">
        <f t="shared" si="16"/>
        <v>43.064809999999994</v>
      </c>
      <c r="U47" s="1">
        <f t="shared" si="17"/>
        <v>47.462783000000002</v>
      </c>
      <c r="V47" s="1">
        <f t="shared" si="18"/>
        <v>45.38612775</v>
      </c>
    </row>
    <row r="48" spans="1:22" x14ac:dyDescent="0.2">
      <c r="A48" t="str">
        <f>'9.7.0.18'!$H44</f>
        <v>mv-mp-vo-tst-6-9-dagdeel-v20.xml</v>
      </c>
      <c r="B48" s="5">
        <f>'9.7.0.18'!$C44</f>
        <v>16880</v>
      </c>
      <c r="C48" s="1">
        <f>'9.7.0.18'!$E44</f>
        <v>39.767704999999999</v>
      </c>
      <c r="D48" s="1">
        <f>'9.7.0.18'!$G44</f>
        <v>10.601309000000001</v>
      </c>
      <c r="E48" s="3">
        <f t="shared" si="11"/>
        <v>50.369014</v>
      </c>
      <c r="F48" s="3" t="str">
        <f t="shared" si="12"/>
        <v>H</v>
      </c>
      <c r="G48" s="1">
        <f>'9.8.0.15'!$E44</f>
        <v>34.898311</v>
      </c>
      <c r="H48" s="1">
        <f>'9.8.0.15'!$G44</f>
        <v>9.4844910000000002</v>
      </c>
      <c r="I48" s="3">
        <f t="shared" si="13"/>
        <v>44.382801999999998</v>
      </c>
      <c r="J48" s="3" t="str">
        <f t="shared" si="6"/>
        <v/>
      </c>
      <c r="K48" s="1">
        <f>'9.9.1.8'!$E44</f>
        <v>33.260354999999997</v>
      </c>
      <c r="L48" s="1">
        <f>'9.9.1.8'!$G44</f>
        <v>8.9543230000000005</v>
      </c>
      <c r="M48" s="3">
        <f t="shared" si="14"/>
        <v>42.214677999999999</v>
      </c>
      <c r="N48" s="3" t="str">
        <f t="shared" si="8"/>
        <v>L</v>
      </c>
      <c r="O48" s="1">
        <f>'11.4'!$E44</f>
        <v>38.340485000000001</v>
      </c>
      <c r="P48" s="1">
        <f>'11.4'!$G44</f>
        <v>9.4484580000000005</v>
      </c>
      <c r="Q48" s="3">
        <f t="shared" si="15"/>
        <v>47.788943000000003</v>
      </c>
      <c r="R48" s="3" t="str">
        <f t="shared" si="10"/>
        <v/>
      </c>
      <c r="T48" s="1">
        <f t="shared" si="16"/>
        <v>42.214677999999999</v>
      </c>
      <c r="U48" s="1">
        <f t="shared" si="17"/>
        <v>50.369014</v>
      </c>
      <c r="V48" s="1">
        <f t="shared" si="18"/>
        <v>46.188859249999993</v>
      </c>
    </row>
    <row r="49" spans="1:22" x14ac:dyDescent="0.2">
      <c r="A49" t="str">
        <f>'9.7.0.18'!$H45</f>
        <v>mv-mp-vo-tst-7-1-alle-ingredienten-v20.xml</v>
      </c>
      <c r="B49" s="5">
        <f>'9.7.0.18'!$C45</f>
        <v>20179</v>
      </c>
      <c r="C49" s="1">
        <f>'9.7.0.18'!$E45</f>
        <v>35.997275000000002</v>
      </c>
      <c r="D49" s="1">
        <f>'9.7.0.18'!$G45</f>
        <v>11.544688000000001</v>
      </c>
      <c r="E49" s="3">
        <f t="shared" si="11"/>
        <v>47.541963000000003</v>
      </c>
      <c r="F49" s="3" t="str">
        <f t="shared" si="12"/>
        <v/>
      </c>
      <c r="G49" s="1">
        <f>'9.8.0.15'!$E45</f>
        <v>34.86356</v>
      </c>
      <c r="H49" s="1">
        <f>'9.8.0.15'!$G45</f>
        <v>11.733268000000001</v>
      </c>
      <c r="I49" s="3">
        <f t="shared" si="13"/>
        <v>46.596828000000002</v>
      </c>
      <c r="J49" s="3" t="str">
        <f t="shared" si="6"/>
        <v>L</v>
      </c>
      <c r="K49" s="1">
        <f>'9.9.1.8'!$E45</f>
        <v>39.739341000000003</v>
      </c>
      <c r="L49" s="1">
        <f>'9.9.1.8'!$G45</f>
        <v>10.522475999999999</v>
      </c>
      <c r="M49" s="3">
        <f t="shared" si="14"/>
        <v>50.261817000000001</v>
      </c>
      <c r="N49" s="3" t="str">
        <f t="shared" si="8"/>
        <v/>
      </c>
      <c r="O49" s="1">
        <f>'11.4'!$E45</f>
        <v>43.378748000000002</v>
      </c>
      <c r="P49" s="1">
        <f>'11.4'!$G45</f>
        <v>12.290442000000001</v>
      </c>
      <c r="Q49" s="3">
        <f t="shared" si="15"/>
        <v>55.66919</v>
      </c>
      <c r="R49" s="3" t="str">
        <f t="shared" si="10"/>
        <v>H</v>
      </c>
      <c r="T49" s="1">
        <f t="shared" si="16"/>
        <v>46.596828000000002</v>
      </c>
      <c r="U49" s="1">
        <f t="shared" si="17"/>
        <v>55.66919</v>
      </c>
      <c r="V49" s="1">
        <f t="shared" si="18"/>
        <v>50.017449499999998</v>
      </c>
    </row>
    <row r="50" spans="1:22" x14ac:dyDescent="0.2">
      <c r="A50" t="str">
        <f>'9.7.0.18'!$H46</f>
        <v>mv-mp-vo-tst-7-2-actief-ingredient-v20.xml</v>
      </c>
      <c r="B50" s="5">
        <f>'9.7.0.18'!$C46</f>
        <v>18206</v>
      </c>
      <c r="C50" s="1">
        <f>'9.7.0.18'!$E46</f>
        <v>35.912666999999999</v>
      </c>
      <c r="D50" s="1">
        <f>'9.7.0.18'!$G46</f>
        <v>10.371157</v>
      </c>
      <c r="E50" s="3">
        <f t="shared" si="11"/>
        <v>46.283823999999996</v>
      </c>
      <c r="F50" s="3" t="str">
        <f t="shared" si="12"/>
        <v>L</v>
      </c>
      <c r="G50" s="1">
        <f>'9.8.0.15'!$E46</f>
        <v>39.37256</v>
      </c>
      <c r="H50" s="1">
        <f>'9.8.0.15'!$G46</f>
        <v>10.52495</v>
      </c>
      <c r="I50" s="3">
        <f t="shared" si="13"/>
        <v>49.897509999999997</v>
      </c>
      <c r="J50" s="3" t="str">
        <f t="shared" si="6"/>
        <v/>
      </c>
      <c r="K50" s="1">
        <f>'9.9.1.8'!$E46</f>
        <v>40.032103999999997</v>
      </c>
      <c r="L50" s="1">
        <f>'9.9.1.8'!$G46</f>
        <v>9.9659759999999995</v>
      </c>
      <c r="M50" s="3">
        <f t="shared" si="14"/>
        <v>49.998079999999995</v>
      </c>
      <c r="N50" s="3" t="str">
        <f t="shared" si="8"/>
        <v>H</v>
      </c>
      <c r="O50" s="1">
        <f>'11.4'!$E46</f>
        <v>38.023560000000003</v>
      </c>
      <c r="P50" s="1">
        <f>'11.4'!$G46</f>
        <v>10.826741</v>
      </c>
      <c r="Q50" s="3">
        <f t="shared" si="15"/>
        <v>48.850301000000002</v>
      </c>
      <c r="R50" s="3" t="str">
        <f t="shared" si="10"/>
        <v/>
      </c>
      <c r="T50" s="1">
        <f t="shared" si="16"/>
        <v>46.283823999999996</v>
      </c>
      <c r="U50" s="1">
        <f t="shared" si="17"/>
        <v>49.998079999999995</v>
      </c>
      <c r="V50" s="1">
        <f t="shared" si="18"/>
        <v>48.757428749999995</v>
      </c>
    </row>
    <row r="51" spans="1:22" x14ac:dyDescent="0.2">
      <c r="A51" t="str">
        <f>'9.7.0.18'!$H47</f>
        <v>mv-mp-vo-tst-7-3-90-miljoen-nummer-v20.xml</v>
      </c>
      <c r="B51" s="5">
        <f>'9.7.0.18'!$C47</f>
        <v>18270</v>
      </c>
      <c r="C51" s="1">
        <f>'9.7.0.18'!$E47</f>
        <v>35.414045000000002</v>
      </c>
      <c r="D51" s="1">
        <f>'9.7.0.18'!$G47</f>
        <v>10.300209000000001</v>
      </c>
      <c r="E51" s="3">
        <f t="shared" si="11"/>
        <v>45.714254000000004</v>
      </c>
      <c r="F51" s="3" t="str">
        <f t="shared" si="12"/>
        <v/>
      </c>
      <c r="G51" s="1">
        <f>'9.8.0.15'!$E47</f>
        <v>38.807288999999997</v>
      </c>
      <c r="H51" s="1">
        <f>'9.8.0.15'!$G47</f>
        <v>9.9549590000000006</v>
      </c>
      <c r="I51" s="3">
        <f t="shared" si="13"/>
        <v>48.762248</v>
      </c>
      <c r="J51" s="3" t="str">
        <f t="shared" si="6"/>
        <v/>
      </c>
      <c r="K51" s="1">
        <f>'9.9.1.8'!$E47</f>
        <v>34.599704000000003</v>
      </c>
      <c r="L51" s="1">
        <f>'9.9.1.8'!$G47</f>
        <v>10.391819999999999</v>
      </c>
      <c r="M51" s="3">
        <f t="shared" si="14"/>
        <v>44.991523999999998</v>
      </c>
      <c r="N51" s="3" t="str">
        <f t="shared" si="8"/>
        <v>L</v>
      </c>
      <c r="O51" s="1">
        <f>'11.4'!$E47</f>
        <v>44.371549999999999</v>
      </c>
      <c r="P51" s="1">
        <f>'11.4'!$G47</f>
        <v>10.467385999999999</v>
      </c>
      <c r="Q51" s="3">
        <f t="shared" si="15"/>
        <v>54.838935999999997</v>
      </c>
      <c r="R51" s="3" t="str">
        <f t="shared" si="10"/>
        <v>H</v>
      </c>
      <c r="T51" s="1">
        <f t="shared" si="16"/>
        <v>44.991523999999998</v>
      </c>
      <c r="U51" s="1">
        <f t="shared" si="17"/>
        <v>54.838935999999997</v>
      </c>
      <c r="V51" s="1">
        <f t="shared" si="18"/>
        <v>48.5767405</v>
      </c>
    </row>
    <row r="52" spans="1:22" x14ac:dyDescent="0.2">
      <c r="A52" t="str">
        <f>'9.7.0.18'!$H48</f>
        <v>mv-mp-vo-tst-9-1a-verbruiksperiode-start-eind-v20.xml</v>
      </c>
      <c r="B52" s="5">
        <f>'9.7.0.18'!$C48</f>
        <v>16904</v>
      </c>
      <c r="C52" s="1">
        <f>'9.7.0.18'!$E48</f>
        <v>35.87623</v>
      </c>
      <c r="D52" s="1">
        <f>'9.7.0.18'!$G48</f>
        <v>12.628076</v>
      </c>
      <c r="E52" s="3">
        <f t="shared" ref="E52" si="19">C52+D52</f>
        <v>48.504306</v>
      </c>
      <c r="F52" s="3" t="str">
        <f t="shared" si="12"/>
        <v>H</v>
      </c>
      <c r="G52" s="1">
        <f>'9.8.0.15'!$E48</f>
        <v>37.035983999999999</v>
      </c>
      <c r="H52" s="1">
        <f>'9.8.0.15'!$G48</f>
        <v>10.628265000000001</v>
      </c>
      <c r="I52" s="3">
        <f t="shared" ref="I52" si="20">G52+H52</f>
        <v>47.664248999999998</v>
      </c>
      <c r="J52" s="3" t="str">
        <f t="shared" si="6"/>
        <v/>
      </c>
      <c r="K52" s="1">
        <f>'9.9.1.8'!$E48</f>
        <v>35.639201999999997</v>
      </c>
      <c r="L52" s="1">
        <f>'9.9.1.8'!$G48</f>
        <v>10.863327999999999</v>
      </c>
      <c r="M52" s="3">
        <f t="shared" ref="M52" si="21">K52+L52</f>
        <v>46.502529999999993</v>
      </c>
      <c r="N52" s="3" t="str">
        <f t="shared" si="8"/>
        <v>L</v>
      </c>
      <c r="O52" s="1">
        <f>'11.4'!$E48</f>
        <v>36.380198999999998</v>
      </c>
      <c r="P52" s="1">
        <f>'11.4'!$G48</f>
        <v>11.224099000000001</v>
      </c>
      <c r="Q52" s="3">
        <f t="shared" ref="Q52" si="22">O52+P52</f>
        <v>47.604298</v>
      </c>
      <c r="R52" s="3" t="str">
        <f t="shared" si="10"/>
        <v/>
      </c>
      <c r="T52" s="1">
        <f t="shared" si="16"/>
        <v>46.502529999999993</v>
      </c>
      <c r="U52" s="1">
        <f t="shared" si="17"/>
        <v>48.504306</v>
      </c>
      <c r="V52" s="1">
        <f t="shared" si="18"/>
        <v>47.568845750000001</v>
      </c>
    </row>
    <row r="53" spans="1:22" x14ac:dyDescent="0.2">
      <c r="B53" s="4"/>
    </row>
    <row r="54" spans="1:22" x14ac:dyDescent="0.2">
      <c r="B54" s="4"/>
    </row>
    <row r="55" spans="1:22" x14ac:dyDescent="0.2">
      <c r="A55" t="s">
        <v>43</v>
      </c>
      <c r="B55" s="4" t="str">
        <f>IF(E55=MAX(E55,I55,M55,Q55),C3,IF(I55=MAX(E55,I55,M55,Q55),G3,IF(M55=MAX(E55,I55,M55,Q55),K3,IF(Q55=MAX(E55,I55,M55,Q55),O3,"meerdere versies"))))</f>
        <v>saxon 9.9.1.8</v>
      </c>
      <c r="E55" s="2">
        <f>COUNTIF(F5:F53,"L")</f>
        <v>8</v>
      </c>
      <c r="I55" s="2">
        <f>COUNTIF(J5:J53,"L")</f>
        <v>12</v>
      </c>
      <c r="M55" s="2">
        <f>COUNTIF(N5:N53,"L")</f>
        <v>27</v>
      </c>
      <c r="Q55" s="2">
        <f>COUNTIF(R5:R53,"L")</f>
        <v>1</v>
      </c>
    </row>
    <row r="56" spans="1:22" x14ac:dyDescent="0.2">
      <c r="A56" t="s">
        <v>44</v>
      </c>
      <c r="B56" s="4" t="str">
        <f>IF(E55=MIN(E55,I55,M55,Q55),C3,IF(I55=MIN(E55,I55,M55,Q55),G3,IF(M55=MIN(E55,I55,M55,Q55),K3,IF(Q55=MIN(E55,I55,M55,Q55),O3,"meerdere versies"))))</f>
        <v>saxon11.4</v>
      </c>
      <c r="E56" s="2">
        <f>COUNTIF(F5:F53,"H")</f>
        <v>16</v>
      </c>
      <c r="I56" s="2">
        <f>COUNTIF(J5:J53,"H")</f>
        <v>7</v>
      </c>
      <c r="M56" s="2">
        <f>COUNTIF(N5:N53,"H")</f>
        <v>4</v>
      </c>
      <c r="Q56" s="2">
        <f>COUNTIF(R5:R53,"H")</f>
        <v>21</v>
      </c>
    </row>
    <row r="57" spans="1:22" x14ac:dyDescent="0.2">
      <c r="B57" s="4"/>
    </row>
    <row r="58" spans="1:22" x14ac:dyDescent="0.2">
      <c r="A58" t="s">
        <v>10</v>
      </c>
      <c r="E58" s="3">
        <f>AVERAGE(E5:E21)</f>
        <v>43.619417058823537</v>
      </c>
      <c r="I58" s="3">
        <f>AVERAGE(I5:I21)</f>
        <v>44.370088470588243</v>
      </c>
      <c r="M58" s="3">
        <f>AVERAGE(M5:M21)</f>
        <v>42.83367082352941</v>
      </c>
      <c r="Q58" s="3">
        <f>AVERAGE(Q5:Q21)</f>
        <v>45.684681882352933</v>
      </c>
    </row>
    <row r="60" spans="1:22" x14ac:dyDescent="0.2">
      <c r="B60" s="4"/>
    </row>
    <row r="61" spans="1:22" x14ac:dyDescent="0.2">
      <c r="B61" s="4"/>
    </row>
    <row r="62" spans="1:22" x14ac:dyDescent="0.2">
      <c r="B62" s="4"/>
    </row>
  </sheetData>
  <autoFilter ref="A4:V4" xr:uid="{759B4D22-7663-FC41-95B4-410684CE73EE}">
    <sortState xmlns:xlrd2="http://schemas.microsoft.com/office/spreadsheetml/2017/richdata2" ref="A5:V53">
      <sortCondition ref="V4:V53"/>
    </sortState>
  </autoFilter>
  <conditionalFormatting sqref="E5:F52 I5:J52 M5:N52 Q5:R52">
    <cfRule type="expression" dxfId="1" priority="20" stopIfTrue="1">
      <formula>IF(E5=$T5,TRUE,FALSE)</formula>
    </cfRule>
    <cfRule type="expression" dxfId="0" priority="21" stopIfTrue="1">
      <formula>IF(E5=$U5,TRUE,FALSE)</formula>
    </cfRule>
  </conditionalFormatting>
  <conditionalFormatting sqref="V5:V52">
    <cfRule type="colorScale" priority="57">
      <colorScale>
        <cfvo type="min"/>
        <cfvo type="percentile" val="50"/>
        <cfvo type="max"/>
        <color rgb="FF92D05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workbookViewId="0">
      <selection activeCell="A19" sqref="A19"/>
    </sheetView>
  </sheetViews>
  <sheetFormatPr baseColWidth="10" defaultRowHeight="16" x14ac:dyDescent="0.2"/>
  <sheetData>
    <row r="1" spans="1:1" ht="24" x14ac:dyDescent="0.3">
      <c r="A1" s="7" t="s">
        <v>41</v>
      </c>
    </row>
    <row r="2" spans="1:1" x14ac:dyDescent="0.2">
      <c r="A2" s="2"/>
    </row>
    <row r="3" spans="1:1" x14ac:dyDescent="0.2">
      <c r="A3" s="4" t="s">
        <v>33</v>
      </c>
    </row>
    <row r="4" spans="1:1" x14ac:dyDescent="0.2">
      <c r="A4" s="4" t="s">
        <v>40</v>
      </c>
    </row>
    <row r="5" spans="1:1" x14ac:dyDescent="0.2">
      <c r="A5" s="4" t="s">
        <v>28</v>
      </c>
    </row>
    <row r="6" spans="1:1" x14ac:dyDescent="0.2">
      <c r="A6" s="4" t="s">
        <v>29</v>
      </c>
    </row>
    <row r="7" spans="1:1" x14ac:dyDescent="0.2">
      <c r="A7" s="4" t="s">
        <v>30</v>
      </c>
    </row>
    <row r="8" spans="1:1" x14ac:dyDescent="0.2">
      <c r="A8" s="4" t="s">
        <v>13</v>
      </c>
    </row>
    <row r="9" spans="1:1" x14ac:dyDescent="0.2">
      <c r="A9" s="4" t="s">
        <v>31</v>
      </c>
    </row>
    <row r="10" spans="1:1" x14ac:dyDescent="0.2">
      <c r="A10" s="4" t="s">
        <v>32</v>
      </c>
    </row>
    <row r="11" spans="1:1" x14ac:dyDescent="0.2">
      <c r="A11" s="4" t="s">
        <v>14</v>
      </c>
    </row>
    <row r="12" spans="1:1" x14ac:dyDescent="0.2">
      <c r="A12" s="4" t="s">
        <v>15</v>
      </c>
    </row>
    <row r="13" spans="1:1" x14ac:dyDescent="0.2">
      <c r="A13" s="4" t="s">
        <v>35</v>
      </c>
    </row>
    <row r="14" spans="1:1" x14ac:dyDescent="0.2">
      <c r="A14" s="4" t="s">
        <v>16</v>
      </c>
    </row>
    <row r="15" spans="1:1" x14ac:dyDescent="0.2">
      <c r="A15" s="4" t="s">
        <v>17</v>
      </c>
    </row>
    <row r="16" spans="1:1" x14ac:dyDescent="0.2">
      <c r="A16" s="4" t="s">
        <v>18</v>
      </c>
    </row>
    <row r="17" spans="1:1" x14ac:dyDescent="0.2">
      <c r="A17" s="4" t="s">
        <v>19</v>
      </c>
    </row>
    <row r="19" spans="1:1" ht="21" x14ac:dyDescent="0.25">
      <c r="A19" s="6" t="s">
        <v>42</v>
      </c>
    </row>
    <row r="20" spans="1:1" x14ac:dyDescent="0.2">
      <c r="A20" s="4" t="s">
        <v>36</v>
      </c>
    </row>
    <row r="21" spans="1:1" x14ac:dyDescent="0.2">
      <c r="A21" s="4" t="s">
        <v>37</v>
      </c>
    </row>
    <row r="22" spans="1:1" x14ac:dyDescent="0.2">
      <c r="A22" s="4" t="s">
        <v>38</v>
      </c>
    </row>
    <row r="23" spans="1:1" x14ac:dyDescent="0.2">
      <c r="A23" s="4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53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54.6640625" bestFit="1" customWidth="1"/>
  </cols>
  <sheetData>
    <row r="1" spans="1:10" x14ac:dyDescent="0.2">
      <c r="A1" t="s">
        <v>20</v>
      </c>
      <c r="B1" t="s">
        <v>21</v>
      </c>
      <c r="C1">
        <v>17290</v>
      </c>
      <c r="D1" t="s">
        <v>0</v>
      </c>
      <c r="E1">
        <v>40.227325999999998</v>
      </c>
      <c r="F1" t="s">
        <v>1</v>
      </c>
      <c r="G1">
        <v>9.445748</v>
      </c>
      <c r="H1" t="s">
        <v>45</v>
      </c>
      <c r="I1" t="s">
        <v>46</v>
      </c>
      <c r="J1" t="s">
        <v>2</v>
      </c>
    </row>
    <row r="2" spans="1:10" x14ac:dyDescent="0.2">
      <c r="A2" t="s">
        <v>20</v>
      </c>
      <c r="B2" t="s">
        <v>21</v>
      </c>
      <c r="C2">
        <v>18696</v>
      </c>
      <c r="D2" t="s">
        <v>0</v>
      </c>
      <c r="E2">
        <v>37.623226000000003</v>
      </c>
      <c r="F2" t="s">
        <v>1</v>
      </c>
      <c r="G2">
        <v>9.3155579999999993</v>
      </c>
      <c r="H2" t="s">
        <v>47</v>
      </c>
      <c r="I2" t="s">
        <v>46</v>
      </c>
      <c r="J2" t="s">
        <v>2</v>
      </c>
    </row>
    <row r="3" spans="1:10" x14ac:dyDescent="0.2">
      <c r="A3" t="s">
        <v>20</v>
      </c>
      <c r="B3" t="s">
        <v>21</v>
      </c>
      <c r="C3">
        <v>17421</v>
      </c>
      <c r="D3" t="s">
        <v>0</v>
      </c>
      <c r="E3">
        <v>34.141401999999999</v>
      </c>
      <c r="F3" t="s">
        <v>1</v>
      </c>
      <c r="G3">
        <v>9.0183409999999995</v>
      </c>
      <c r="H3" t="s">
        <v>48</v>
      </c>
      <c r="I3" t="s">
        <v>46</v>
      </c>
      <c r="J3" t="s">
        <v>2</v>
      </c>
    </row>
    <row r="4" spans="1:10" x14ac:dyDescent="0.2">
      <c r="A4" t="s">
        <v>20</v>
      </c>
      <c r="B4" t="s">
        <v>21</v>
      </c>
      <c r="C4">
        <v>17087</v>
      </c>
      <c r="D4" t="s">
        <v>0</v>
      </c>
      <c r="E4">
        <v>33.955573000000001</v>
      </c>
      <c r="F4" t="s">
        <v>1</v>
      </c>
      <c r="G4">
        <v>8.7902819999999995</v>
      </c>
      <c r="H4" t="s">
        <v>49</v>
      </c>
      <c r="I4" t="s">
        <v>46</v>
      </c>
      <c r="J4" t="s">
        <v>2</v>
      </c>
    </row>
    <row r="5" spans="1:10" x14ac:dyDescent="0.2">
      <c r="A5" t="s">
        <v>20</v>
      </c>
      <c r="B5" t="s">
        <v>21</v>
      </c>
      <c r="C5">
        <v>17138</v>
      </c>
      <c r="D5" t="s">
        <v>0</v>
      </c>
      <c r="E5">
        <v>33.043384000000003</v>
      </c>
      <c r="F5" t="s">
        <v>1</v>
      </c>
      <c r="G5">
        <v>8.7756900000000009</v>
      </c>
      <c r="H5" t="s">
        <v>50</v>
      </c>
      <c r="I5" t="s">
        <v>46</v>
      </c>
      <c r="J5" t="s">
        <v>2</v>
      </c>
    </row>
    <row r="6" spans="1:10" x14ac:dyDescent="0.2">
      <c r="A6" t="s">
        <v>20</v>
      </c>
      <c r="B6" t="s">
        <v>21</v>
      </c>
      <c r="C6">
        <v>17177</v>
      </c>
      <c r="D6" t="s">
        <v>0</v>
      </c>
      <c r="E6">
        <v>32.809362999999998</v>
      </c>
      <c r="F6" t="s">
        <v>1</v>
      </c>
      <c r="G6">
        <v>9.1675339999999998</v>
      </c>
      <c r="H6" t="s">
        <v>51</v>
      </c>
      <c r="I6" t="s">
        <v>46</v>
      </c>
      <c r="J6" t="s">
        <v>2</v>
      </c>
    </row>
    <row r="7" spans="1:10" x14ac:dyDescent="0.2">
      <c r="A7" t="s">
        <v>20</v>
      </c>
      <c r="B7" t="s">
        <v>21</v>
      </c>
      <c r="C7">
        <v>17349</v>
      </c>
      <c r="D7" t="s">
        <v>0</v>
      </c>
      <c r="E7">
        <v>33.818461999999997</v>
      </c>
      <c r="F7" t="s">
        <v>1</v>
      </c>
      <c r="G7">
        <v>9.589696</v>
      </c>
      <c r="H7" t="s">
        <v>52</v>
      </c>
      <c r="I7" t="s">
        <v>46</v>
      </c>
      <c r="J7" t="s">
        <v>2</v>
      </c>
    </row>
    <row r="8" spans="1:10" x14ac:dyDescent="0.2">
      <c r="A8" t="s">
        <v>20</v>
      </c>
      <c r="B8" t="s">
        <v>21</v>
      </c>
      <c r="C8">
        <v>17605</v>
      </c>
      <c r="D8" t="s">
        <v>0</v>
      </c>
      <c r="E8">
        <v>34.956161999999999</v>
      </c>
      <c r="F8" t="s">
        <v>1</v>
      </c>
      <c r="G8">
        <v>9.7898990000000001</v>
      </c>
      <c r="H8" t="s">
        <v>53</v>
      </c>
      <c r="I8" t="s">
        <v>46</v>
      </c>
      <c r="J8" t="s">
        <v>2</v>
      </c>
    </row>
    <row r="9" spans="1:10" x14ac:dyDescent="0.2">
      <c r="A9" t="s">
        <v>20</v>
      </c>
      <c r="B9" t="s">
        <v>21</v>
      </c>
      <c r="C9">
        <v>16351</v>
      </c>
      <c r="D9" t="s">
        <v>0</v>
      </c>
      <c r="E9">
        <v>33.980763000000003</v>
      </c>
      <c r="F9" t="s">
        <v>1</v>
      </c>
      <c r="G9">
        <v>9.2325119999999998</v>
      </c>
      <c r="H9" t="s">
        <v>54</v>
      </c>
      <c r="I9" t="s">
        <v>46</v>
      </c>
      <c r="J9" t="s">
        <v>2</v>
      </c>
    </row>
    <row r="10" spans="1:10" x14ac:dyDescent="0.2">
      <c r="A10" t="s">
        <v>20</v>
      </c>
      <c r="B10" t="s">
        <v>21</v>
      </c>
      <c r="C10">
        <v>19184</v>
      </c>
      <c r="D10" t="s">
        <v>0</v>
      </c>
      <c r="E10">
        <v>34.07179</v>
      </c>
      <c r="F10" t="s">
        <v>1</v>
      </c>
      <c r="G10">
        <v>9.5991669999999996</v>
      </c>
      <c r="H10" t="s">
        <v>55</v>
      </c>
      <c r="I10" t="s">
        <v>46</v>
      </c>
      <c r="J10" t="s">
        <v>2</v>
      </c>
    </row>
    <row r="11" spans="1:10" x14ac:dyDescent="0.2">
      <c r="A11" t="s">
        <v>20</v>
      </c>
      <c r="B11" t="s">
        <v>21</v>
      </c>
      <c r="C11">
        <v>17596</v>
      </c>
      <c r="D11" t="s">
        <v>0</v>
      </c>
      <c r="E11">
        <v>33.072707999999999</v>
      </c>
      <c r="F11" t="s">
        <v>1</v>
      </c>
      <c r="G11">
        <v>10.26003</v>
      </c>
      <c r="H11" t="s">
        <v>56</v>
      </c>
      <c r="I11" t="s">
        <v>46</v>
      </c>
      <c r="J11" t="s">
        <v>2</v>
      </c>
    </row>
    <row r="12" spans="1:10" x14ac:dyDescent="0.2">
      <c r="A12" t="s">
        <v>20</v>
      </c>
      <c r="B12" t="s">
        <v>21</v>
      </c>
      <c r="C12">
        <v>17195</v>
      </c>
      <c r="D12" t="s">
        <v>0</v>
      </c>
      <c r="E12">
        <v>34.370162000000001</v>
      </c>
      <c r="F12" t="s">
        <v>1</v>
      </c>
      <c r="G12">
        <v>8.5979580000000002</v>
      </c>
      <c r="H12" t="s">
        <v>57</v>
      </c>
      <c r="I12" t="s">
        <v>46</v>
      </c>
      <c r="J12" t="s">
        <v>2</v>
      </c>
    </row>
    <row r="13" spans="1:10" x14ac:dyDescent="0.2">
      <c r="A13" t="s">
        <v>20</v>
      </c>
      <c r="B13" t="s">
        <v>21</v>
      </c>
      <c r="C13">
        <v>18407</v>
      </c>
      <c r="D13" t="s">
        <v>0</v>
      </c>
      <c r="E13">
        <v>37.192464999999999</v>
      </c>
      <c r="F13" t="s">
        <v>1</v>
      </c>
      <c r="G13">
        <v>9.5138649999999991</v>
      </c>
      <c r="H13" t="s">
        <v>58</v>
      </c>
      <c r="I13" t="s">
        <v>46</v>
      </c>
      <c r="J13" t="s">
        <v>2</v>
      </c>
    </row>
    <row r="14" spans="1:10" x14ac:dyDescent="0.2">
      <c r="A14" t="s">
        <v>20</v>
      </c>
      <c r="B14" t="s">
        <v>21</v>
      </c>
      <c r="C14">
        <v>18163</v>
      </c>
      <c r="D14" t="s">
        <v>0</v>
      </c>
      <c r="E14">
        <v>35.33417</v>
      </c>
      <c r="F14" t="s">
        <v>1</v>
      </c>
      <c r="G14">
        <v>9.7546510000000008</v>
      </c>
      <c r="H14" t="s">
        <v>59</v>
      </c>
      <c r="I14" t="s">
        <v>46</v>
      </c>
      <c r="J14" t="s">
        <v>2</v>
      </c>
    </row>
    <row r="15" spans="1:10" x14ac:dyDescent="0.2">
      <c r="A15" t="s">
        <v>20</v>
      </c>
      <c r="B15" t="s">
        <v>21</v>
      </c>
      <c r="C15">
        <v>18096</v>
      </c>
      <c r="D15" t="s">
        <v>0</v>
      </c>
      <c r="E15">
        <v>36.071992000000002</v>
      </c>
      <c r="F15" t="s">
        <v>1</v>
      </c>
      <c r="G15">
        <v>9.7720070000000003</v>
      </c>
      <c r="H15" t="s">
        <v>60</v>
      </c>
      <c r="I15" t="s">
        <v>46</v>
      </c>
      <c r="J15" t="s">
        <v>2</v>
      </c>
    </row>
    <row r="16" spans="1:10" x14ac:dyDescent="0.2">
      <c r="A16" t="s">
        <v>20</v>
      </c>
      <c r="B16" t="s">
        <v>21</v>
      </c>
      <c r="C16">
        <v>17287</v>
      </c>
      <c r="D16" t="s">
        <v>0</v>
      </c>
      <c r="E16">
        <v>34.523924999999998</v>
      </c>
      <c r="F16" t="s">
        <v>1</v>
      </c>
      <c r="G16">
        <v>9.0754999999999999</v>
      </c>
      <c r="H16" t="s">
        <v>61</v>
      </c>
      <c r="I16" t="s">
        <v>46</v>
      </c>
      <c r="J16" t="s">
        <v>2</v>
      </c>
    </row>
    <row r="17" spans="1:10" x14ac:dyDescent="0.2">
      <c r="A17" t="s">
        <v>20</v>
      </c>
      <c r="B17" t="s">
        <v>21</v>
      </c>
      <c r="C17">
        <v>13933</v>
      </c>
      <c r="D17" t="s">
        <v>0</v>
      </c>
      <c r="E17">
        <v>23.899429000000001</v>
      </c>
      <c r="F17" t="s">
        <v>1</v>
      </c>
      <c r="G17">
        <v>8.73935</v>
      </c>
      <c r="H17" t="s">
        <v>62</v>
      </c>
      <c r="I17" t="s">
        <v>46</v>
      </c>
      <c r="J17" t="s">
        <v>2</v>
      </c>
    </row>
    <row r="18" spans="1:10" x14ac:dyDescent="0.2">
      <c r="A18" t="s">
        <v>20</v>
      </c>
      <c r="B18" t="s">
        <v>21</v>
      </c>
      <c r="C18">
        <v>17243</v>
      </c>
      <c r="D18" t="s">
        <v>0</v>
      </c>
      <c r="E18">
        <v>35.378914999999999</v>
      </c>
      <c r="F18" t="s">
        <v>1</v>
      </c>
      <c r="G18">
        <v>9.3384630000000008</v>
      </c>
      <c r="H18" t="s">
        <v>63</v>
      </c>
      <c r="I18" t="s">
        <v>46</v>
      </c>
      <c r="J18" t="s">
        <v>2</v>
      </c>
    </row>
    <row r="19" spans="1:10" x14ac:dyDescent="0.2">
      <c r="A19" t="s">
        <v>20</v>
      </c>
      <c r="B19" t="s">
        <v>21</v>
      </c>
      <c r="C19">
        <v>23270</v>
      </c>
      <c r="D19" t="s">
        <v>0</v>
      </c>
      <c r="E19">
        <v>42.102088999999999</v>
      </c>
      <c r="F19" t="s">
        <v>1</v>
      </c>
      <c r="G19">
        <v>15.482378000000001</v>
      </c>
      <c r="H19" t="s">
        <v>64</v>
      </c>
      <c r="I19" t="s">
        <v>46</v>
      </c>
      <c r="J19" t="s">
        <v>2</v>
      </c>
    </row>
    <row r="20" spans="1:10" x14ac:dyDescent="0.2">
      <c r="A20" t="s">
        <v>20</v>
      </c>
      <c r="B20" t="s">
        <v>21</v>
      </c>
      <c r="C20">
        <v>17346</v>
      </c>
      <c r="D20" t="s">
        <v>0</v>
      </c>
      <c r="E20">
        <v>37.693311000000001</v>
      </c>
      <c r="F20" t="s">
        <v>1</v>
      </c>
      <c r="G20">
        <v>9.6420379999999994</v>
      </c>
      <c r="H20" t="s">
        <v>65</v>
      </c>
      <c r="I20" t="s">
        <v>46</v>
      </c>
      <c r="J20" t="s">
        <v>2</v>
      </c>
    </row>
    <row r="21" spans="1:10" x14ac:dyDescent="0.2">
      <c r="A21" t="s">
        <v>20</v>
      </c>
      <c r="B21" t="s">
        <v>21</v>
      </c>
      <c r="C21">
        <v>18787</v>
      </c>
      <c r="D21" t="s">
        <v>0</v>
      </c>
      <c r="E21">
        <v>29.265947000000001</v>
      </c>
      <c r="F21" t="s">
        <v>1</v>
      </c>
      <c r="G21">
        <v>14.852663</v>
      </c>
      <c r="H21" t="s">
        <v>66</v>
      </c>
      <c r="I21" t="s">
        <v>46</v>
      </c>
      <c r="J21" t="s">
        <v>2</v>
      </c>
    </row>
    <row r="22" spans="1:10" x14ac:dyDescent="0.2">
      <c r="A22" t="s">
        <v>20</v>
      </c>
      <c r="B22" t="s">
        <v>21</v>
      </c>
      <c r="C22">
        <v>17301</v>
      </c>
      <c r="D22" t="s">
        <v>0</v>
      </c>
      <c r="E22">
        <v>46.340685000000001</v>
      </c>
      <c r="F22" t="s">
        <v>1</v>
      </c>
      <c r="G22">
        <v>10.751355999999999</v>
      </c>
      <c r="H22" t="s">
        <v>67</v>
      </c>
      <c r="I22" t="s">
        <v>46</v>
      </c>
      <c r="J22" t="s">
        <v>2</v>
      </c>
    </row>
    <row r="23" spans="1:10" x14ac:dyDescent="0.2">
      <c r="A23" t="s">
        <v>20</v>
      </c>
      <c r="B23" t="s">
        <v>21</v>
      </c>
      <c r="C23">
        <v>13943</v>
      </c>
      <c r="D23" t="s">
        <v>0</v>
      </c>
      <c r="E23">
        <v>27.185766000000001</v>
      </c>
      <c r="F23" t="s">
        <v>1</v>
      </c>
      <c r="G23">
        <v>12.573917</v>
      </c>
      <c r="H23" t="s">
        <v>68</v>
      </c>
      <c r="I23" t="s">
        <v>46</v>
      </c>
      <c r="J23" t="s">
        <v>2</v>
      </c>
    </row>
    <row r="24" spans="1:10" x14ac:dyDescent="0.2">
      <c r="A24" t="s">
        <v>20</v>
      </c>
      <c r="B24" t="s">
        <v>21</v>
      </c>
      <c r="C24">
        <v>17591</v>
      </c>
      <c r="D24" t="s">
        <v>0</v>
      </c>
      <c r="E24">
        <v>34.914265</v>
      </c>
      <c r="F24" t="s">
        <v>1</v>
      </c>
      <c r="G24">
        <v>9.8427050000000005</v>
      </c>
      <c r="H24" t="s">
        <v>69</v>
      </c>
      <c r="I24" t="s">
        <v>46</v>
      </c>
      <c r="J24" t="s">
        <v>2</v>
      </c>
    </row>
    <row r="25" spans="1:10" x14ac:dyDescent="0.2">
      <c r="A25" t="s">
        <v>20</v>
      </c>
      <c r="B25" t="s">
        <v>21</v>
      </c>
      <c r="C25">
        <v>20141</v>
      </c>
      <c r="D25" t="s">
        <v>0</v>
      </c>
      <c r="E25">
        <v>45.663038</v>
      </c>
      <c r="F25" t="s">
        <v>1</v>
      </c>
      <c r="G25">
        <v>10.734014</v>
      </c>
      <c r="H25" t="s">
        <v>70</v>
      </c>
      <c r="I25" t="s">
        <v>46</v>
      </c>
      <c r="J25" t="s">
        <v>2</v>
      </c>
    </row>
    <row r="26" spans="1:10" x14ac:dyDescent="0.2">
      <c r="A26" t="s">
        <v>20</v>
      </c>
      <c r="B26" t="s">
        <v>21</v>
      </c>
      <c r="C26">
        <v>20150</v>
      </c>
      <c r="D26" t="s">
        <v>0</v>
      </c>
      <c r="E26">
        <v>37.650770999999999</v>
      </c>
      <c r="F26" t="s">
        <v>1</v>
      </c>
      <c r="G26">
        <v>11.53037</v>
      </c>
      <c r="H26" t="s">
        <v>71</v>
      </c>
      <c r="I26" t="s">
        <v>46</v>
      </c>
      <c r="J26" t="s">
        <v>2</v>
      </c>
    </row>
    <row r="27" spans="1:10" x14ac:dyDescent="0.2">
      <c r="A27" t="s">
        <v>20</v>
      </c>
      <c r="B27" t="s">
        <v>21</v>
      </c>
      <c r="C27">
        <v>17052</v>
      </c>
      <c r="D27" t="s">
        <v>0</v>
      </c>
      <c r="E27">
        <v>35.682082000000001</v>
      </c>
      <c r="F27" t="s">
        <v>1</v>
      </c>
      <c r="G27">
        <v>9.0166979999999999</v>
      </c>
      <c r="H27" t="s">
        <v>72</v>
      </c>
      <c r="I27" t="s">
        <v>46</v>
      </c>
      <c r="J27" t="s">
        <v>2</v>
      </c>
    </row>
    <row r="28" spans="1:10" x14ac:dyDescent="0.2">
      <c r="A28" t="s">
        <v>20</v>
      </c>
      <c r="B28" t="s">
        <v>21</v>
      </c>
      <c r="C28">
        <v>17067</v>
      </c>
      <c r="D28" t="s">
        <v>0</v>
      </c>
      <c r="E28">
        <v>35.370596999999997</v>
      </c>
      <c r="F28" t="s">
        <v>1</v>
      </c>
      <c r="G28">
        <v>8.9532500000000006</v>
      </c>
      <c r="H28" t="s">
        <v>73</v>
      </c>
      <c r="I28" t="s">
        <v>46</v>
      </c>
      <c r="J28" t="s">
        <v>2</v>
      </c>
    </row>
    <row r="29" spans="1:10" x14ac:dyDescent="0.2">
      <c r="A29" t="s">
        <v>20</v>
      </c>
      <c r="B29" t="s">
        <v>21</v>
      </c>
      <c r="C29">
        <v>17230</v>
      </c>
      <c r="D29" t="s">
        <v>0</v>
      </c>
      <c r="E29">
        <v>35.133645000000001</v>
      </c>
      <c r="F29" t="s">
        <v>1</v>
      </c>
      <c r="G29">
        <v>13.124903</v>
      </c>
      <c r="H29" t="s">
        <v>74</v>
      </c>
      <c r="I29" t="s">
        <v>46</v>
      </c>
      <c r="J29" t="s">
        <v>2</v>
      </c>
    </row>
    <row r="30" spans="1:10" x14ac:dyDescent="0.2">
      <c r="A30" t="s">
        <v>20</v>
      </c>
      <c r="B30" t="s">
        <v>21</v>
      </c>
      <c r="C30">
        <v>17849</v>
      </c>
      <c r="D30" t="s">
        <v>0</v>
      </c>
      <c r="E30">
        <v>40.851064999999998</v>
      </c>
      <c r="F30" t="s">
        <v>1</v>
      </c>
      <c r="G30">
        <v>10.224318</v>
      </c>
      <c r="H30" t="s">
        <v>75</v>
      </c>
      <c r="I30" t="s">
        <v>46</v>
      </c>
      <c r="J30" t="s">
        <v>2</v>
      </c>
    </row>
    <row r="31" spans="1:10" x14ac:dyDescent="0.2">
      <c r="A31" t="s">
        <v>20</v>
      </c>
      <c r="B31" t="s">
        <v>21</v>
      </c>
      <c r="C31">
        <v>20789</v>
      </c>
      <c r="D31" t="s">
        <v>0</v>
      </c>
      <c r="E31">
        <v>46.712318000000003</v>
      </c>
      <c r="F31" t="s">
        <v>1</v>
      </c>
      <c r="G31">
        <v>11.980942000000001</v>
      </c>
      <c r="H31" t="s">
        <v>76</v>
      </c>
      <c r="I31" t="s">
        <v>46</v>
      </c>
      <c r="J31" t="s">
        <v>2</v>
      </c>
    </row>
    <row r="32" spans="1:10" x14ac:dyDescent="0.2">
      <c r="A32" t="s">
        <v>20</v>
      </c>
      <c r="B32" t="s">
        <v>21</v>
      </c>
      <c r="C32">
        <v>19254</v>
      </c>
      <c r="D32" t="s">
        <v>0</v>
      </c>
      <c r="E32">
        <v>37.072490000000002</v>
      </c>
      <c r="F32" t="s">
        <v>1</v>
      </c>
      <c r="G32">
        <v>10.616472999999999</v>
      </c>
      <c r="H32" t="s">
        <v>77</v>
      </c>
      <c r="I32" t="s">
        <v>46</v>
      </c>
      <c r="J32" t="s">
        <v>2</v>
      </c>
    </row>
    <row r="33" spans="1:10" x14ac:dyDescent="0.2">
      <c r="A33" t="s">
        <v>20</v>
      </c>
      <c r="B33" t="s">
        <v>21</v>
      </c>
      <c r="C33">
        <v>16904</v>
      </c>
      <c r="D33" t="s">
        <v>0</v>
      </c>
      <c r="E33">
        <v>37.356129000000003</v>
      </c>
      <c r="F33" t="s">
        <v>1</v>
      </c>
      <c r="G33">
        <v>10.592492999999999</v>
      </c>
      <c r="H33" t="s">
        <v>78</v>
      </c>
      <c r="I33" t="s">
        <v>46</v>
      </c>
      <c r="J33" t="s">
        <v>2</v>
      </c>
    </row>
    <row r="34" spans="1:10" x14ac:dyDescent="0.2">
      <c r="A34" t="s">
        <v>20</v>
      </c>
      <c r="B34" t="s">
        <v>21</v>
      </c>
      <c r="C34">
        <v>17261</v>
      </c>
      <c r="D34" t="s">
        <v>0</v>
      </c>
      <c r="E34">
        <v>38.506582999999999</v>
      </c>
      <c r="F34" t="s">
        <v>1</v>
      </c>
      <c r="G34">
        <v>9.8235270000000003</v>
      </c>
      <c r="H34" t="s">
        <v>79</v>
      </c>
      <c r="I34" t="s">
        <v>46</v>
      </c>
      <c r="J34" t="s">
        <v>2</v>
      </c>
    </row>
    <row r="35" spans="1:10" x14ac:dyDescent="0.2">
      <c r="A35" t="s">
        <v>20</v>
      </c>
      <c r="B35" t="s">
        <v>21</v>
      </c>
      <c r="C35">
        <v>17438</v>
      </c>
      <c r="D35" t="s">
        <v>0</v>
      </c>
      <c r="E35">
        <v>46.791893000000002</v>
      </c>
      <c r="F35" t="s">
        <v>1</v>
      </c>
      <c r="G35">
        <v>10.038233</v>
      </c>
      <c r="H35" t="s">
        <v>80</v>
      </c>
      <c r="I35" t="s">
        <v>46</v>
      </c>
      <c r="J35" t="s">
        <v>2</v>
      </c>
    </row>
    <row r="36" spans="1:10" x14ac:dyDescent="0.2">
      <c r="A36" t="s">
        <v>20</v>
      </c>
      <c r="B36" t="s">
        <v>21</v>
      </c>
      <c r="C36">
        <v>17213</v>
      </c>
      <c r="D36" t="s">
        <v>0</v>
      </c>
      <c r="E36">
        <v>35.055762000000001</v>
      </c>
      <c r="F36" t="s">
        <v>1</v>
      </c>
      <c r="G36">
        <v>9.5086739999999992</v>
      </c>
      <c r="H36" t="s">
        <v>81</v>
      </c>
      <c r="I36" t="s">
        <v>46</v>
      </c>
      <c r="J36" t="s">
        <v>2</v>
      </c>
    </row>
    <row r="37" spans="1:10" x14ac:dyDescent="0.2">
      <c r="A37" t="s">
        <v>20</v>
      </c>
      <c r="B37" t="s">
        <v>21</v>
      </c>
      <c r="C37">
        <v>17983</v>
      </c>
      <c r="D37" t="s">
        <v>0</v>
      </c>
      <c r="E37">
        <v>35.061039000000001</v>
      </c>
      <c r="F37" t="s">
        <v>1</v>
      </c>
      <c r="G37">
        <v>10.193989999999999</v>
      </c>
      <c r="H37" t="s">
        <v>82</v>
      </c>
      <c r="I37" t="s">
        <v>46</v>
      </c>
      <c r="J37" t="s">
        <v>2</v>
      </c>
    </row>
    <row r="38" spans="1:10" x14ac:dyDescent="0.2">
      <c r="A38" t="s">
        <v>20</v>
      </c>
      <c r="B38" t="s">
        <v>21</v>
      </c>
      <c r="C38">
        <v>16784</v>
      </c>
      <c r="D38" t="s">
        <v>0</v>
      </c>
      <c r="E38">
        <v>37.129159999999999</v>
      </c>
      <c r="F38" t="s">
        <v>1</v>
      </c>
      <c r="G38">
        <v>11.696927000000001</v>
      </c>
      <c r="H38" t="s">
        <v>83</v>
      </c>
      <c r="I38" t="s">
        <v>46</v>
      </c>
      <c r="J38" t="s">
        <v>2</v>
      </c>
    </row>
    <row r="39" spans="1:10" x14ac:dyDescent="0.2">
      <c r="A39" t="s">
        <v>20</v>
      </c>
      <c r="B39" t="s">
        <v>21</v>
      </c>
      <c r="C39">
        <v>17150</v>
      </c>
      <c r="D39" t="s">
        <v>0</v>
      </c>
      <c r="E39">
        <v>36.288584</v>
      </c>
      <c r="F39" t="s">
        <v>1</v>
      </c>
      <c r="G39">
        <v>9.9059880000000007</v>
      </c>
      <c r="H39" t="s">
        <v>84</v>
      </c>
      <c r="I39" t="s">
        <v>46</v>
      </c>
      <c r="J39" t="s">
        <v>2</v>
      </c>
    </row>
    <row r="40" spans="1:10" x14ac:dyDescent="0.2">
      <c r="A40" t="s">
        <v>20</v>
      </c>
      <c r="B40" t="s">
        <v>21</v>
      </c>
      <c r="C40">
        <v>18976</v>
      </c>
      <c r="D40" t="s">
        <v>0</v>
      </c>
      <c r="E40">
        <v>35.000985</v>
      </c>
      <c r="F40" t="s">
        <v>1</v>
      </c>
      <c r="G40">
        <v>9.3871939999999991</v>
      </c>
      <c r="H40" t="s">
        <v>85</v>
      </c>
      <c r="I40" t="s">
        <v>46</v>
      </c>
      <c r="J40" t="s">
        <v>2</v>
      </c>
    </row>
    <row r="41" spans="1:10" x14ac:dyDescent="0.2">
      <c r="A41" t="s">
        <v>20</v>
      </c>
      <c r="B41" t="s">
        <v>21</v>
      </c>
      <c r="C41">
        <v>17380</v>
      </c>
      <c r="D41" t="s">
        <v>0</v>
      </c>
      <c r="E41">
        <v>33.436135</v>
      </c>
      <c r="F41" t="s">
        <v>1</v>
      </c>
      <c r="G41">
        <v>10.076762</v>
      </c>
      <c r="H41" t="s">
        <v>86</v>
      </c>
      <c r="I41" t="s">
        <v>46</v>
      </c>
      <c r="J41" t="s">
        <v>2</v>
      </c>
    </row>
    <row r="42" spans="1:10" x14ac:dyDescent="0.2">
      <c r="A42" t="s">
        <v>20</v>
      </c>
      <c r="B42" t="s">
        <v>21</v>
      </c>
      <c r="C42">
        <v>17453</v>
      </c>
      <c r="D42" t="s">
        <v>0</v>
      </c>
      <c r="E42">
        <v>37.097562000000003</v>
      </c>
      <c r="F42" t="s">
        <v>1</v>
      </c>
      <c r="G42">
        <v>10.791850999999999</v>
      </c>
      <c r="H42" t="s">
        <v>87</v>
      </c>
      <c r="I42" t="s">
        <v>46</v>
      </c>
      <c r="J42" t="s">
        <v>2</v>
      </c>
    </row>
    <row r="43" spans="1:10" x14ac:dyDescent="0.2">
      <c r="A43" t="s">
        <v>20</v>
      </c>
      <c r="B43" t="s">
        <v>21</v>
      </c>
      <c r="C43">
        <v>17074</v>
      </c>
      <c r="D43" t="s">
        <v>0</v>
      </c>
      <c r="E43">
        <v>36.487746999999999</v>
      </c>
      <c r="F43" t="s">
        <v>1</v>
      </c>
      <c r="G43">
        <v>10.975035999999999</v>
      </c>
      <c r="H43" t="s">
        <v>88</v>
      </c>
      <c r="I43" t="s">
        <v>46</v>
      </c>
      <c r="J43" t="s">
        <v>2</v>
      </c>
    </row>
    <row r="44" spans="1:10" x14ac:dyDescent="0.2">
      <c r="A44" t="s">
        <v>20</v>
      </c>
      <c r="B44" t="s">
        <v>21</v>
      </c>
      <c r="C44">
        <v>16880</v>
      </c>
      <c r="D44" t="s">
        <v>0</v>
      </c>
      <c r="E44">
        <v>39.767704999999999</v>
      </c>
      <c r="F44" t="s">
        <v>1</v>
      </c>
      <c r="G44">
        <v>10.601309000000001</v>
      </c>
      <c r="H44" t="s">
        <v>89</v>
      </c>
      <c r="I44" t="s">
        <v>46</v>
      </c>
      <c r="J44" t="s">
        <v>2</v>
      </c>
    </row>
    <row r="45" spans="1:10" x14ac:dyDescent="0.2">
      <c r="A45" t="s">
        <v>20</v>
      </c>
      <c r="B45" t="s">
        <v>21</v>
      </c>
      <c r="C45">
        <v>20179</v>
      </c>
      <c r="D45" t="s">
        <v>0</v>
      </c>
      <c r="E45">
        <v>35.997275000000002</v>
      </c>
      <c r="F45" t="s">
        <v>1</v>
      </c>
      <c r="G45">
        <v>11.544688000000001</v>
      </c>
      <c r="H45" t="s">
        <v>90</v>
      </c>
      <c r="I45" t="s">
        <v>46</v>
      </c>
      <c r="J45" t="s">
        <v>2</v>
      </c>
    </row>
    <row r="46" spans="1:10" x14ac:dyDescent="0.2">
      <c r="A46" t="s">
        <v>20</v>
      </c>
      <c r="B46" t="s">
        <v>21</v>
      </c>
      <c r="C46">
        <v>18206</v>
      </c>
      <c r="D46" t="s">
        <v>0</v>
      </c>
      <c r="E46">
        <v>35.912666999999999</v>
      </c>
      <c r="F46" t="s">
        <v>1</v>
      </c>
      <c r="G46">
        <v>10.371157</v>
      </c>
      <c r="H46" t="s">
        <v>91</v>
      </c>
      <c r="I46" t="s">
        <v>46</v>
      </c>
      <c r="J46" t="s">
        <v>2</v>
      </c>
    </row>
    <row r="47" spans="1:10" x14ac:dyDescent="0.2">
      <c r="A47" t="s">
        <v>20</v>
      </c>
      <c r="B47" t="s">
        <v>21</v>
      </c>
      <c r="C47">
        <v>18270</v>
      </c>
      <c r="D47" t="s">
        <v>0</v>
      </c>
      <c r="E47">
        <v>35.414045000000002</v>
      </c>
      <c r="F47" t="s">
        <v>1</v>
      </c>
      <c r="G47">
        <v>10.300209000000001</v>
      </c>
      <c r="H47" t="s">
        <v>92</v>
      </c>
      <c r="I47" t="s">
        <v>46</v>
      </c>
      <c r="J47" t="s">
        <v>2</v>
      </c>
    </row>
    <row r="48" spans="1:10" x14ac:dyDescent="0.2">
      <c r="A48" t="s">
        <v>20</v>
      </c>
      <c r="B48" t="s">
        <v>21</v>
      </c>
      <c r="C48">
        <v>16904</v>
      </c>
      <c r="D48" t="s">
        <v>0</v>
      </c>
      <c r="E48">
        <v>35.87623</v>
      </c>
      <c r="F48" t="s">
        <v>1</v>
      </c>
      <c r="G48">
        <v>12.628076</v>
      </c>
      <c r="H48" t="s">
        <v>93</v>
      </c>
      <c r="I48" t="s">
        <v>46</v>
      </c>
      <c r="J48" t="s">
        <v>2</v>
      </c>
    </row>
    <row r="49" spans="1:10" x14ac:dyDescent="0.2">
      <c r="A49" t="s">
        <v>20</v>
      </c>
      <c r="B49" t="s">
        <v>21</v>
      </c>
      <c r="C49">
        <v>16763</v>
      </c>
      <c r="D49" t="s">
        <v>0</v>
      </c>
      <c r="E49">
        <v>37.352967</v>
      </c>
      <c r="F49" t="s">
        <v>1</v>
      </c>
      <c r="G49">
        <v>10.437163</v>
      </c>
      <c r="H49" t="s">
        <v>94</v>
      </c>
      <c r="I49" t="s">
        <v>46</v>
      </c>
      <c r="J49" t="s">
        <v>2</v>
      </c>
    </row>
    <row r="50" spans="1:10" x14ac:dyDescent="0.2">
      <c r="A50" t="s">
        <v>20</v>
      </c>
      <c r="B50" t="s">
        <v>21</v>
      </c>
      <c r="C50">
        <v>17124</v>
      </c>
      <c r="D50" t="s">
        <v>0</v>
      </c>
      <c r="E50">
        <v>37.402431</v>
      </c>
      <c r="F50" t="s">
        <v>1</v>
      </c>
      <c r="G50">
        <v>10.377660000000001</v>
      </c>
      <c r="H50" t="s">
        <v>95</v>
      </c>
      <c r="I50" t="s">
        <v>46</v>
      </c>
      <c r="J50" t="s">
        <v>2</v>
      </c>
    </row>
    <row r="51" spans="1:10" x14ac:dyDescent="0.2">
      <c r="A51" t="s">
        <v>20</v>
      </c>
      <c r="B51" t="s">
        <v>21</v>
      </c>
      <c r="C51">
        <v>17031</v>
      </c>
      <c r="D51" t="s">
        <v>0</v>
      </c>
      <c r="E51">
        <v>36.753804000000002</v>
      </c>
      <c r="F51" t="s">
        <v>1</v>
      </c>
      <c r="G51">
        <v>10.567710999999999</v>
      </c>
      <c r="H51" t="s">
        <v>96</v>
      </c>
      <c r="I51" t="s">
        <v>46</v>
      </c>
      <c r="J51" t="s">
        <v>2</v>
      </c>
    </row>
    <row r="52" spans="1:10" x14ac:dyDescent="0.2">
      <c r="A52" t="s">
        <v>20</v>
      </c>
      <c r="B52" t="s">
        <v>21</v>
      </c>
      <c r="C52">
        <v>17930</v>
      </c>
      <c r="D52" t="s">
        <v>0</v>
      </c>
      <c r="E52">
        <v>39.044148</v>
      </c>
      <c r="F52" t="s">
        <v>1</v>
      </c>
      <c r="G52">
        <v>10.479952000000001</v>
      </c>
      <c r="H52" t="s">
        <v>97</v>
      </c>
      <c r="I52" t="s">
        <v>46</v>
      </c>
      <c r="J52" t="s">
        <v>2</v>
      </c>
    </row>
    <row r="53" spans="1:10" x14ac:dyDescent="0.2">
      <c r="A53" t="s">
        <v>20</v>
      </c>
      <c r="B53" t="s">
        <v>21</v>
      </c>
      <c r="C53">
        <v>17603</v>
      </c>
      <c r="D53" t="s">
        <v>0</v>
      </c>
      <c r="E53">
        <v>38.105443999999999</v>
      </c>
      <c r="F53" t="s">
        <v>1</v>
      </c>
      <c r="G53">
        <v>9.4339879999999994</v>
      </c>
      <c r="H53" t="s">
        <v>98</v>
      </c>
      <c r="I53" t="s">
        <v>46</v>
      </c>
      <c r="J53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53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22</v>
      </c>
      <c r="B1" t="s">
        <v>21</v>
      </c>
      <c r="C1">
        <v>17290</v>
      </c>
      <c r="D1" t="s">
        <v>0</v>
      </c>
      <c r="E1">
        <v>33.607239999999997</v>
      </c>
      <c r="F1" t="s">
        <v>1</v>
      </c>
      <c r="G1">
        <v>10.276159</v>
      </c>
      <c r="H1" t="s">
        <v>45</v>
      </c>
      <c r="I1" t="s">
        <v>46</v>
      </c>
      <c r="J1" t="s">
        <v>2</v>
      </c>
    </row>
    <row r="2" spans="1:10" x14ac:dyDescent="0.2">
      <c r="A2" t="s">
        <v>22</v>
      </c>
      <c r="B2" t="s">
        <v>21</v>
      </c>
      <c r="C2">
        <v>18696</v>
      </c>
      <c r="D2" t="s">
        <v>0</v>
      </c>
      <c r="E2">
        <v>37.462902999999997</v>
      </c>
      <c r="F2" t="s">
        <v>1</v>
      </c>
      <c r="G2">
        <v>8.9838070000000005</v>
      </c>
      <c r="H2" t="s">
        <v>47</v>
      </c>
      <c r="I2" t="s">
        <v>46</v>
      </c>
      <c r="J2" t="s">
        <v>2</v>
      </c>
    </row>
    <row r="3" spans="1:10" x14ac:dyDescent="0.2">
      <c r="A3" t="s">
        <v>22</v>
      </c>
      <c r="B3" t="s">
        <v>21</v>
      </c>
      <c r="C3">
        <v>17421</v>
      </c>
      <c r="D3" t="s">
        <v>0</v>
      </c>
      <c r="E3">
        <v>34.535871999999998</v>
      </c>
      <c r="F3" t="s">
        <v>1</v>
      </c>
      <c r="G3">
        <v>8.8277999999999999</v>
      </c>
      <c r="H3" t="s">
        <v>48</v>
      </c>
      <c r="I3" t="s">
        <v>46</v>
      </c>
      <c r="J3" t="s">
        <v>2</v>
      </c>
    </row>
    <row r="4" spans="1:10" x14ac:dyDescent="0.2">
      <c r="A4" t="s">
        <v>22</v>
      </c>
      <c r="B4" t="s">
        <v>21</v>
      </c>
      <c r="C4">
        <v>17087</v>
      </c>
      <c r="D4" t="s">
        <v>0</v>
      </c>
      <c r="E4">
        <v>33.795681999999999</v>
      </c>
      <c r="F4" t="s">
        <v>1</v>
      </c>
      <c r="G4">
        <v>9.9613270000000007</v>
      </c>
      <c r="H4" t="s">
        <v>49</v>
      </c>
      <c r="I4" t="s">
        <v>46</v>
      </c>
      <c r="J4" t="s">
        <v>2</v>
      </c>
    </row>
    <row r="5" spans="1:10" x14ac:dyDescent="0.2">
      <c r="A5" t="s">
        <v>22</v>
      </c>
      <c r="B5" t="s">
        <v>21</v>
      </c>
      <c r="C5">
        <v>17138</v>
      </c>
      <c r="D5" t="s">
        <v>0</v>
      </c>
      <c r="E5">
        <v>33.674636999999997</v>
      </c>
      <c r="F5" t="s">
        <v>1</v>
      </c>
      <c r="G5">
        <v>8.7922930000000008</v>
      </c>
      <c r="H5" t="s">
        <v>50</v>
      </c>
      <c r="I5" t="s">
        <v>46</v>
      </c>
      <c r="J5" t="s">
        <v>2</v>
      </c>
    </row>
    <row r="6" spans="1:10" x14ac:dyDescent="0.2">
      <c r="A6" t="s">
        <v>22</v>
      </c>
      <c r="B6" t="s">
        <v>21</v>
      </c>
      <c r="C6">
        <v>17177</v>
      </c>
      <c r="D6" t="s">
        <v>0</v>
      </c>
      <c r="E6">
        <v>34.837682000000001</v>
      </c>
      <c r="F6" t="s">
        <v>1</v>
      </c>
      <c r="G6">
        <v>9.2980079999999994</v>
      </c>
      <c r="H6" t="s">
        <v>51</v>
      </c>
      <c r="I6" t="s">
        <v>46</v>
      </c>
      <c r="J6" t="s">
        <v>2</v>
      </c>
    </row>
    <row r="7" spans="1:10" x14ac:dyDescent="0.2">
      <c r="A7" t="s">
        <v>22</v>
      </c>
      <c r="B7" t="s">
        <v>21</v>
      </c>
      <c r="C7">
        <v>17349</v>
      </c>
      <c r="D7" t="s">
        <v>0</v>
      </c>
      <c r="E7">
        <v>39.371636000000002</v>
      </c>
      <c r="F7" t="s">
        <v>1</v>
      </c>
      <c r="G7">
        <v>9.2567660000000007</v>
      </c>
      <c r="H7" t="s">
        <v>52</v>
      </c>
      <c r="I7" t="s">
        <v>46</v>
      </c>
      <c r="J7" t="s">
        <v>2</v>
      </c>
    </row>
    <row r="8" spans="1:10" x14ac:dyDescent="0.2">
      <c r="A8" t="s">
        <v>22</v>
      </c>
      <c r="B8" t="s">
        <v>21</v>
      </c>
      <c r="C8">
        <v>17605</v>
      </c>
      <c r="D8" t="s">
        <v>0</v>
      </c>
      <c r="E8">
        <v>36.903396000000001</v>
      </c>
      <c r="F8" t="s">
        <v>1</v>
      </c>
      <c r="G8">
        <v>9.8603319999999997</v>
      </c>
      <c r="H8" t="s">
        <v>53</v>
      </c>
      <c r="I8" t="s">
        <v>46</v>
      </c>
      <c r="J8" t="s">
        <v>2</v>
      </c>
    </row>
    <row r="9" spans="1:10" x14ac:dyDescent="0.2">
      <c r="A9" t="s">
        <v>22</v>
      </c>
      <c r="B9" t="s">
        <v>21</v>
      </c>
      <c r="C9">
        <v>16351</v>
      </c>
      <c r="D9" t="s">
        <v>0</v>
      </c>
      <c r="E9">
        <v>40.029480999999997</v>
      </c>
      <c r="F9" t="s">
        <v>1</v>
      </c>
      <c r="G9">
        <v>8.4730969999999992</v>
      </c>
      <c r="H9" t="s">
        <v>54</v>
      </c>
      <c r="I9" t="s">
        <v>46</v>
      </c>
      <c r="J9" t="s">
        <v>2</v>
      </c>
    </row>
    <row r="10" spans="1:10" x14ac:dyDescent="0.2">
      <c r="A10" t="s">
        <v>22</v>
      </c>
      <c r="B10" t="s">
        <v>21</v>
      </c>
      <c r="C10">
        <v>19184</v>
      </c>
      <c r="D10" t="s">
        <v>0</v>
      </c>
      <c r="E10">
        <v>34.332898</v>
      </c>
      <c r="F10" t="s">
        <v>1</v>
      </c>
      <c r="G10">
        <v>9.8073689999999996</v>
      </c>
      <c r="H10" t="s">
        <v>55</v>
      </c>
      <c r="I10" t="s">
        <v>46</v>
      </c>
      <c r="J10" t="s">
        <v>2</v>
      </c>
    </row>
    <row r="11" spans="1:10" x14ac:dyDescent="0.2">
      <c r="A11" t="s">
        <v>22</v>
      </c>
      <c r="B11" t="s">
        <v>21</v>
      </c>
      <c r="C11">
        <v>17596</v>
      </c>
      <c r="D11" t="s">
        <v>0</v>
      </c>
      <c r="E11">
        <v>33.00667</v>
      </c>
      <c r="F11" t="s">
        <v>1</v>
      </c>
      <c r="G11">
        <v>9.4204179999999997</v>
      </c>
      <c r="H11" t="s">
        <v>56</v>
      </c>
      <c r="I11" t="s">
        <v>46</v>
      </c>
      <c r="J11" t="s">
        <v>2</v>
      </c>
    </row>
    <row r="12" spans="1:10" x14ac:dyDescent="0.2">
      <c r="A12" t="s">
        <v>22</v>
      </c>
      <c r="B12" t="s">
        <v>21</v>
      </c>
      <c r="C12">
        <v>17195</v>
      </c>
      <c r="D12" t="s">
        <v>0</v>
      </c>
      <c r="E12">
        <v>38.009872000000001</v>
      </c>
      <c r="F12" t="s">
        <v>1</v>
      </c>
      <c r="G12">
        <v>9.0226229999999994</v>
      </c>
      <c r="H12" t="s">
        <v>57</v>
      </c>
      <c r="I12" t="s">
        <v>46</v>
      </c>
      <c r="J12" t="s">
        <v>2</v>
      </c>
    </row>
    <row r="13" spans="1:10" x14ac:dyDescent="0.2">
      <c r="A13" t="s">
        <v>22</v>
      </c>
      <c r="B13" t="s">
        <v>21</v>
      </c>
      <c r="C13">
        <v>18407</v>
      </c>
      <c r="D13" t="s">
        <v>0</v>
      </c>
      <c r="E13">
        <v>34.522914</v>
      </c>
      <c r="F13" t="s">
        <v>1</v>
      </c>
      <c r="G13">
        <v>9.7173079999999992</v>
      </c>
      <c r="H13" t="s">
        <v>58</v>
      </c>
      <c r="I13" t="s">
        <v>46</v>
      </c>
      <c r="J13" t="s">
        <v>2</v>
      </c>
    </row>
    <row r="14" spans="1:10" x14ac:dyDescent="0.2">
      <c r="A14" t="s">
        <v>22</v>
      </c>
      <c r="B14" t="s">
        <v>21</v>
      </c>
      <c r="C14">
        <v>18163</v>
      </c>
      <c r="D14" t="s">
        <v>0</v>
      </c>
      <c r="E14">
        <v>34.870432000000001</v>
      </c>
      <c r="F14" t="s">
        <v>1</v>
      </c>
      <c r="G14">
        <v>10.394378</v>
      </c>
      <c r="H14" t="s">
        <v>59</v>
      </c>
      <c r="I14" t="s">
        <v>46</v>
      </c>
      <c r="J14" t="s">
        <v>2</v>
      </c>
    </row>
    <row r="15" spans="1:10" x14ac:dyDescent="0.2">
      <c r="A15" t="s">
        <v>22</v>
      </c>
      <c r="B15" t="s">
        <v>21</v>
      </c>
      <c r="C15">
        <v>18096</v>
      </c>
      <c r="D15" t="s">
        <v>0</v>
      </c>
      <c r="E15">
        <v>35.236795000000001</v>
      </c>
      <c r="F15" t="s">
        <v>1</v>
      </c>
      <c r="G15">
        <v>9.5671429999999997</v>
      </c>
      <c r="H15" t="s">
        <v>60</v>
      </c>
      <c r="I15" t="s">
        <v>46</v>
      </c>
      <c r="J15" t="s">
        <v>2</v>
      </c>
    </row>
    <row r="16" spans="1:10" x14ac:dyDescent="0.2">
      <c r="A16" t="s">
        <v>22</v>
      </c>
      <c r="B16" t="s">
        <v>21</v>
      </c>
      <c r="C16">
        <v>17287</v>
      </c>
      <c r="D16" t="s">
        <v>0</v>
      </c>
      <c r="E16">
        <v>33.729976999999998</v>
      </c>
      <c r="F16" t="s">
        <v>1</v>
      </c>
      <c r="G16">
        <v>9.4159179999999996</v>
      </c>
      <c r="H16" t="s">
        <v>61</v>
      </c>
      <c r="I16" t="s">
        <v>46</v>
      </c>
      <c r="J16" t="s">
        <v>2</v>
      </c>
    </row>
    <row r="17" spans="1:10" x14ac:dyDescent="0.2">
      <c r="A17" t="s">
        <v>22</v>
      </c>
      <c r="B17" t="s">
        <v>21</v>
      </c>
      <c r="C17">
        <v>13933</v>
      </c>
      <c r="D17" t="s">
        <v>0</v>
      </c>
      <c r="E17">
        <v>27.182424999999999</v>
      </c>
      <c r="F17" t="s">
        <v>1</v>
      </c>
      <c r="G17">
        <v>8.1062460000000005</v>
      </c>
      <c r="H17" t="s">
        <v>62</v>
      </c>
      <c r="I17" t="s">
        <v>46</v>
      </c>
      <c r="J17" t="s">
        <v>2</v>
      </c>
    </row>
    <row r="18" spans="1:10" x14ac:dyDescent="0.2">
      <c r="A18" t="s">
        <v>22</v>
      </c>
      <c r="B18" t="s">
        <v>21</v>
      </c>
      <c r="C18">
        <v>17243</v>
      </c>
      <c r="D18" t="s">
        <v>0</v>
      </c>
      <c r="E18">
        <v>35.721702000000001</v>
      </c>
      <c r="F18" t="s">
        <v>1</v>
      </c>
      <c r="G18">
        <v>9.0842670000000005</v>
      </c>
      <c r="H18" t="s">
        <v>63</v>
      </c>
      <c r="I18" t="s">
        <v>46</v>
      </c>
      <c r="J18" t="s">
        <v>2</v>
      </c>
    </row>
    <row r="19" spans="1:10" x14ac:dyDescent="0.2">
      <c r="A19" t="s">
        <v>22</v>
      </c>
      <c r="B19" t="s">
        <v>21</v>
      </c>
      <c r="C19">
        <v>23270</v>
      </c>
      <c r="D19" t="s">
        <v>0</v>
      </c>
      <c r="E19">
        <v>39.746088999999998</v>
      </c>
      <c r="F19" t="s">
        <v>1</v>
      </c>
      <c r="G19">
        <v>11.924127</v>
      </c>
      <c r="H19" t="s">
        <v>64</v>
      </c>
      <c r="I19" t="s">
        <v>46</v>
      </c>
      <c r="J19" t="s">
        <v>2</v>
      </c>
    </row>
    <row r="20" spans="1:10" x14ac:dyDescent="0.2">
      <c r="A20" t="s">
        <v>22</v>
      </c>
      <c r="B20" t="s">
        <v>21</v>
      </c>
      <c r="C20">
        <v>17346</v>
      </c>
      <c r="D20" t="s">
        <v>0</v>
      </c>
      <c r="E20">
        <v>34.964779999999998</v>
      </c>
      <c r="F20" t="s">
        <v>1</v>
      </c>
      <c r="G20">
        <v>9.3726350000000007</v>
      </c>
      <c r="H20" t="s">
        <v>65</v>
      </c>
      <c r="I20" t="s">
        <v>46</v>
      </c>
      <c r="J20" t="s">
        <v>2</v>
      </c>
    </row>
    <row r="21" spans="1:10" x14ac:dyDescent="0.2">
      <c r="A21" t="s">
        <v>22</v>
      </c>
      <c r="B21" t="s">
        <v>21</v>
      </c>
      <c r="C21">
        <v>18787</v>
      </c>
      <c r="D21" t="s">
        <v>0</v>
      </c>
      <c r="E21">
        <v>28.274018999999999</v>
      </c>
      <c r="F21" t="s">
        <v>1</v>
      </c>
      <c r="G21">
        <v>11.034489000000001</v>
      </c>
      <c r="H21" t="s">
        <v>66</v>
      </c>
      <c r="I21" t="s">
        <v>46</v>
      </c>
      <c r="J21" t="s">
        <v>2</v>
      </c>
    </row>
    <row r="22" spans="1:10" x14ac:dyDescent="0.2">
      <c r="A22" t="s">
        <v>22</v>
      </c>
      <c r="B22" t="s">
        <v>21</v>
      </c>
      <c r="C22">
        <v>17301</v>
      </c>
      <c r="D22" t="s">
        <v>0</v>
      </c>
      <c r="E22">
        <v>34.571905999999998</v>
      </c>
      <c r="F22" t="s">
        <v>1</v>
      </c>
      <c r="G22">
        <v>9.3815010000000001</v>
      </c>
      <c r="H22" t="s">
        <v>67</v>
      </c>
      <c r="I22" t="s">
        <v>46</v>
      </c>
      <c r="J22" t="s">
        <v>2</v>
      </c>
    </row>
    <row r="23" spans="1:10" x14ac:dyDescent="0.2">
      <c r="A23" t="s">
        <v>22</v>
      </c>
      <c r="B23" t="s">
        <v>21</v>
      </c>
      <c r="C23">
        <v>13943</v>
      </c>
      <c r="D23" t="s">
        <v>0</v>
      </c>
      <c r="E23">
        <v>25.261596999999998</v>
      </c>
      <c r="F23" t="s">
        <v>1</v>
      </c>
      <c r="G23">
        <v>8.4385169999999992</v>
      </c>
      <c r="H23" t="s">
        <v>68</v>
      </c>
      <c r="I23" t="s">
        <v>46</v>
      </c>
      <c r="J23" t="s">
        <v>2</v>
      </c>
    </row>
    <row r="24" spans="1:10" x14ac:dyDescent="0.2">
      <c r="A24" t="s">
        <v>22</v>
      </c>
      <c r="B24" t="s">
        <v>21</v>
      </c>
      <c r="C24">
        <v>17591</v>
      </c>
      <c r="D24" t="s">
        <v>0</v>
      </c>
      <c r="E24">
        <v>39.969566</v>
      </c>
      <c r="F24" t="s">
        <v>1</v>
      </c>
      <c r="G24">
        <v>8.9375630000000008</v>
      </c>
      <c r="H24" t="s">
        <v>69</v>
      </c>
      <c r="I24" t="s">
        <v>46</v>
      </c>
      <c r="J24" t="s">
        <v>2</v>
      </c>
    </row>
    <row r="25" spans="1:10" x14ac:dyDescent="0.2">
      <c r="A25" t="s">
        <v>22</v>
      </c>
      <c r="B25" t="s">
        <v>21</v>
      </c>
      <c r="C25">
        <v>20141</v>
      </c>
      <c r="D25" t="s">
        <v>0</v>
      </c>
      <c r="E25">
        <v>34.210827999999999</v>
      </c>
      <c r="F25" t="s">
        <v>1</v>
      </c>
      <c r="G25">
        <v>10.431403</v>
      </c>
      <c r="H25" t="s">
        <v>70</v>
      </c>
      <c r="I25" t="s">
        <v>46</v>
      </c>
      <c r="J25" t="s">
        <v>2</v>
      </c>
    </row>
    <row r="26" spans="1:10" x14ac:dyDescent="0.2">
      <c r="A26" t="s">
        <v>22</v>
      </c>
      <c r="B26" t="s">
        <v>21</v>
      </c>
      <c r="C26">
        <v>20150</v>
      </c>
      <c r="D26" t="s">
        <v>0</v>
      </c>
      <c r="E26">
        <v>36.056088000000003</v>
      </c>
      <c r="F26" t="s">
        <v>1</v>
      </c>
      <c r="G26">
        <v>9.93093</v>
      </c>
      <c r="H26" t="s">
        <v>71</v>
      </c>
      <c r="I26" t="s">
        <v>46</v>
      </c>
      <c r="J26" t="s">
        <v>2</v>
      </c>
    </row>
    <row r="27" spans="1:10" x14ac:dyDescent="0.2">
      <c r="A27" t="s">
        <v>22</v>
      </c>
      <c r="B27" t="s">
        <v>21</v>
      </c>
      <c r="C27">
        <v>17052</v>
      </c>
      <c r="D27" t="s">
        <v>0</v>
      </c>
      <c r="E27">
        <v>33.586995000000002</v>
      </c>
      <c r="F27" t="s">
        <v>1</v>
      </c>
      <c r="G27">
        <v>10.025563</v>
      </c>
      <c r="H27" t="s">
        <v>72</v>
      </c>
      <c r="I27" t="s">
        <v>46</v>
      </c>
      <c r="J27" t="s">
        <v>2</v>
      </c>
    </row>
    <row r="28" spans="1:10" x14ac:dyDescent="0.2">
      <c r="A28" t="s">
        <v>22</v>
      </c>
      <c r="B28" t="s">
        <v>21</v>
      </c>
      <c r="C28">
        <v>17067</v>
      </c>
      <c r="D28" t="s">
        <v>0</v>
      </c>
      <c r="E28">
        <v>35.295611000000001</v>
      </c>
      <c r="F28" t="s">
        <v>1</v>
      </c>
      <c r="G28">
        <v>9.2757280000000009</v>
      </c>
      <c r="H28" t="s">
        <v>73</v>
      </c>
      <c r="I28" t="s">
        <v>46</v>
      </c>
      <c r="J28" t="s">
        <v>2</v>
      </c>
    </row>
    <row r="29" spans="1:10" x14ac:dyDescent="0.2">
      <c r="A29" t="s">
        <v>22</v>
      </c>
      <c r="B29" t="s">
        <v>21</v>
      </c>
      <c r="C29">
        <v>17230</v>
      </c>
      <c r="D29" t="s">
        <v>0</v>
      </c>
      <c r="E29">
        <v>35.148302999999999</v>
      </c>
      <c r="F29" t="s">
        <v>1</v>
      </c>
      <c r="G29">
        <v>9.0706410000000002</v>
      </c>
      <c r="H29" t="s">
        <v>74</v>
      </c>
      <c r="I29" t="s">
        <v>46</v>
      </c>
      <c r="J29" t="s">
        <v>2</v>
      </c>
    </row>
    <row r="30" spans="1:10" x14ac:dyDescent="0.2">
      <c r="A30" t="s">
        <v>22</v>
      </c>
      <c r="B30" t="s">
        <v>21</v>
      </c>
      <c r="C30">
        <v>17849</v>
      </c>
      <c r="D30" t="s">
        <v>0</v>
      </c>
      <c r="E30">
        <v>33.494131000000003</v>
      </c>
      <c r="F30" t="s">
        <v>1</v>
      </c>
      <c r="G30">
        <v>8.6492090000000008</v>
      </c>
      <c r="H30" t="s">
        <v>75</v>
      </c>
      <c r="I30" t="s">
        <v>46</v>
      </c>
      <c r="J30" t="s">
        <v>2</v>
      </c>
    </row>
    <row r="31" spans="1:10" x14ac:dyDescent="0.2">
      <c r="A31" t="s">
        <v>22</v>
      </c>
      <c r="B31" t="s">
        <v>21</v>
      </c>
      <c r="C31">
        <v>20789</v>
      </c>
      <c r="D31" t="s">
        <v>0</v>
      </c>
      <c r="E31">
        <v>39.956470000000003</v>
      </c>
      <c r="F31" t="s">
        <v>1</v>
      </c>
      <c r="G31">
        <v>10.222453</v>
      </c>
      <c r="H31" t="s">
        <v>76</v>
      </c>
      <c r="I31" t="s">
        <v>46</v>
      </c>
      <c r="J31" t="s">
        <v>2</v>
      </c>
    </row>
    <row r="32" spans="1:10" x14ac:dyDescent="0.2">
      <c r="A32" t="s">
        <v>22</v>
      </c>
      <c r="B32" t="s">
        <v>21</v>
      </c>
      <c r="C32">
        <v>19254</v>
      </c>
      <c r="D32" t="s">
        <v>0</v>
      </c>
      <c r="E32">
        <v>35.610410999999999</v>
      </c>
      <c r="F32" t="s">
        <v>1</v>
      </c>
      <c r="G32">
        <v>9.4246569999999998</v>
      </c>
      <c r="H32" t="s">
        <v>77</v>
      </c>
      <c r="I32" t="s">
        <v>46</v>
      </c>
      <c r="J32" t="s">
        <v>2</v>
      </c>
    </row>
    <row r="33" spans="1:10" x14ac:dyDescent="0.2">
      <c r="A33" t="s">
        <v>22</v>
      </c>
      <c r="B33" t="s">
        <v>21</v>
      </c>
      <c r="C33">
        <v>16904</v>
      </c>
      <c r="D33" t="s">
        <v>0</v>
      </c>
      <c r="E33">
        <v>34.753081000000002</v>
      </c>
      <c r="F33" t="s">
        <v>1</v>
      </c>
      <c r="G33">
        <v>9.3403910000000003</v>
      </c>
      <c r="H33" t="s">
        <v>78</v>
      </c>
      <c r="I33" t="s">
        <v>46</v>
      </c>
      <c r="J33" t="s">
        <v>2</v>
      </c>
    </row>
    <row r="34" spans="1:10" x14ac:dyDescent="0.2">
      <c r="A34" t="s">
        <v>22</v>
      </c>
      <c r="B34" t="s">
        <v>21</v>
      </c>
      <c r="C34">
        <v>17261</v>
      </c>
      <c r="D34" t="s">
        <v>0</v>
      </c>
      <c r="E34">
        <v>33.905538999999997</v>
      </c>
      <c r="F34" t="s">
        <v>1</v>
      </c>
      <c r="G34">
        <v>9.0087449999999993</v>
      </c>
      <c r="H34" t="s">
        <v>79</v>
      </c>
      <c r="I34" t="s">
        <v>46</v>
      </c>
      <c r="J34" t="s">
        <v>2</v>
      </c>
    </row>
    <row r="35" spans="1:10" x14ac:dyDescent="0.2">
      <c r="A35" t="s">
        <v>22</v>
      </c>
      <c r="B35" t="s">
        <v>21</v>
      </c>
      <c r="C35">
        <v>17438</v>
      </c>
      <c r="D35" t="s">
        <v>0</v>
      </c>
      <c r="E35">
        <v>36.072512000000003</v>
      </c>
      <c r="F35" t="s">
        <v>1</v>
      </c>
      <c r="G35">
        <v>10.231247</v>
      </c>
      <c r="H35" t="s">
        <v>80</v>
      </c>
      <c r="I35" t="s">
        <v>46</v>
      </c>
      <c r="J35" t="s">
        <v>2</v>
      </c>
    </row>
    <row r="36" spans="1:10" x14ac:dyDescent="0.2">
      <c r="A36" t="s">
        <v>22</v>
      </c>
      <c r="B36" t="s">
        <v>21</v>
      </c>
      <c r="C36">
        <v>17213</v>
      </c>
      <c r="D36" t="s">
        <v>0</v>
      </c>
      <c r="E36">
        <v>34.970686000000001</v>
      </c>
      <c r="F36" t="s">
        <v>1</v>
      </c>
      <c r="G36">
        <v>9.1774290000000001</v>
      </c>
      <c r="H36" t="s">
        <v>81</v>
      </c>
      <c r="I36" t="s">
        <v>46</v>
      </c>
      <c r="J36" t="s">
        <v>2</v>
      </c>
    </row>
    <row r="37" spans="1:10" x14ac:dyDescent="0.2">
      <c r="A37" t="s">
        <v>22</v>
      </c>
      <c r="B37" t="s">
        <v>21</v>
      </c>
      <c r="C37">
        <v>17983</v>
      </c>
      <c r="D37" t="s">
        <v>0</v>
      </c>
      <c r="E37">
        <v>34.804904000000001</v>
      </c>
      <c r="F37" t="s">
        <v>1</v>
      </c>
      <c r="G37">
        <v>10.225538999999999</v>
      </c>
      <c r="H37" t="s">
        <v>82</v>
      </c>
      <c r="I37" t="s">
        <v>46</v>
      </c>
      <c r="J37" t="s">
        <v>2</v>
      </c>
    </row>
    <row r="38" spans="1:10" x14ac:dyDescent="0.2">
      <c r="A38" t="s">
        <v>22</v>
      </c>
      <c r="B38" t="s">
        <v>21</v>
      </c>
      <c r="C38">
        <v>16784</v>
      </c>
      <c r="D38" t="s">
        <v>0</v>
      </c>
      <c r="E38">
        <v>38.552872000000001</v>
      </c>
      <c r="F38" t="s">
        <v>1</v>
      </c>
      <c r="G38">
        <v>9.3345979999999997</v>
      </c>
      <c r="H38" t="s">
        <v>83</v>
      </c>
      <c r="I38" t="s">
        <v>46</v>
      </c>
      <c r="J38" t="s">
        <v>2</v>
      </c>
    </row>
    <row r="39" spans="1:10" x14ac:dyDescent="0.2">
      <c r="A39" t="s">
        <v>22</v>
      </c>
      <c r="B39" t="s">
        <v>21</v>
      </c>
      <c r="C39">
        <v>17150</v>
      </c>
      <c r="D39" t="s">
        <v>0</v>
      </c>
      <c r="E39">
        <v>35.388044000000001</v>
      </c>
      <c r="F39" t="s">
        <v>1</v>
      </c>
      <c r="G39">
        <v>9.6938530000000007</v>
      </c>
      <c r="H39" t="s">
        <v>84</v>
      </c>
      <c r="I39" t="s">
        <v>46</v>
      </c>
      <c r="J39" t="s">
        <v>2</v>
      </c>
    </row>
    <row r="40" spans="1:10" x14ac:dyDescent="0.2">
      <c r="A40" t="s">
        <v>22</v>
      </c>
      <c r="B40" t="s">
        <v>21</v>
      </c>
      <c r="C40">
        <v>18976</v>
      </c>
      <c r="D40" t="s">
        <v>0</v>
      </c>
      <c r="E40">
        <v>36.371921</v>
      </c>
      <c r="F40" t="s">
        <v>1</v>
      </c>
      <c r="G40">
        <v>10.299726</v>
      </c>
      <c r="H40" t="s">
        <v>85</v>
      </c>
      <c r="I40" t="s">
        <v>46</v>
      </c>
      <c r="J40" t="s">
        <v>2</v>
      </c>
    </row>
    <row r="41" spans="1:10" x14ac:dyDescent="0.2">
      <c r="A41" t="s">
        <v>22</v>
      </c>
      <c r="B41" t="s">
        <v>21</v>
      </c>
      <c r="C41">
        <v>17380</v>
      </c>
      <c r="D41" t="s">
        <v>0</v>
      </c>
      <c r="E41">
        <v>37.472779000000003</v>
      </c>
      <c r="F41" t="s">
        <v>1</v>
      </c>
      <c r="G41">
        <v>10.590533000000001</v>
      </c>
      <c r="H41" t="s">
        <v>86</v>
      </c>
      <c r="I41" t="s">
        <v>46</v>
      </c>
      <c r="J41" t="s">
        <v>2</v>
      </c>
    </row>
    <row r="42" spans="1:10" x14ac:dyDescent="0.2">
      <c r="A42" t="s">
        <v>22</v>
      </c>
      <c r="B42" t="s">
        <v>21</v>
      </c>
      <c r="C42">
        <v>17453</v>
      </c>
      <c r="D42" t="s">
        <v>0</v>
      </c>
      <c r="E42">
        <v>36.396268999999997</v>
      </c>
      <c r="F42" t="s">
        <v>1</v>
      </c>
      <c r="G42">
        <v>9.8114089999999994</v>
      </c>
      <c r="H42" t="s">
        <v>87</v>
      </c>
      <c r="I42" t="s">
        <v>46</v>
      </c>
      <c r="J42" t="s">
        <v>2</v>
      </c>
    </row>
    <row r="43" spans="1:10" x14ac:dyDescent="0.2">
      <c r="A43" t="s">
        <v>22</v>
      </c>
      <c r="B43" t="s">
        <v>21</v>
      </c>
      <c r="C43">
        <v>17074</v>
      </c>
      <c r="D43" t="s">
        <v>0</v>
      </c>
      <c r="E43">
        <v>35.063335000000002</v>
      </c>
      <c r="F43" t="s">
        <v>1</v>
      </c>
      <c r="G43">
        <v>9.6831449999999997</v>
      </c>
      <c r="H43" t="s">
        <v>88</v>
      </c>
      <c r="I43" t="s">
        <v>46</v>
      </c>
      <c r="J43" t="s">
        <v>2</v>
      </c>
    </row>
    <row r="44" spans="1:10" x14ac:dyDescent="0.2">
      <c r="A44" t="s">
        <v>22</v>
      </c>
      <c r="B44" t="s">
        <v>21</v>
      </c>
      <c r="C44">
        <v>16880</v>
      </c>
      <c r="D44" t="s">
        <v>0</v>
      </c>
      <c r="E44">
        <v>34.898311</v>
      </c>
      <c r="F44" t="s">
        <v>1</v>
      </c>
      <c r="G44">
        <v>9.4844910000000002</v>
      </c>
      <c r="H44" t="s">
        <v>89</v>
      </c>
      <c r="I44" t="s">
        <v>46</v>
      </c>
      <c r="J44" t="s">
        <v>2</v>
      </c>
    </row>
    <row r="45" spans="1:10" x14ac:dyDescent="0.2">
      <c r="A45" t="s">
        <v>22</v>
      </c>
      <c r="B45" t="s">
        <v>21</v>
      </c>
      <c r="C45">
        <v>20179</v>
      </c>
      <c r="D45" t="s">
        <v>0</v>
      </c>
      <c r="E45">
        <v>34.86356</v>
      </c>
      <c r="F45" t="s">
        <v>1</v>
      </c>
      <c r="G45">
        <v>11.733268000000001</v>
      </c>
      <c r="H45" t="s">
        <v>90</v>
      </c>
      <c r="I45" t="s">
        <v>46</v>
      </c>
      <c r="J45" t="s">
        <v>2</v>
      </c>
    </row>
    <row r="46" spans="1:10" x14ac:dyDescent="0.2">
      <c r="A46" t="s">
        <v>22</v>
      </c>
      <c r="B46" t="s">
        <v>21</v>
      </c>
      <c r="C46">
        <v>18206</v>
      </c>
      <c r="D46" t="s">
        <v>0</v>
      </c>
      <c r="E46">
        <v>39.37256</v>
      </c>
      <c r="F46" t="s">
        <v>1</v>
      </c>
      <c r="G46">
        <v>10.52495</v>
      </c>
      <c r="H46" t="s">
        <v>91</v>
      </c>
      <c r="I46" t="s">
        <v>46</v>
      </c>
      <c r="J46" t="s">
        <v>2</v>
      </c>
    </row>
    <row r="47" spans="1:10" x14ac:dyDescent="0.2">
      <c r="A47" t="s">
        <v>22</v>
      </c>
      <c r="B47" t="s">
        <v>21</v>
      </c>
      <c r="C47">
        <v>18270</v>
      </c>
      <c r="D47" t="s">
        <v>0</v>
      </c>
      <c r="E47">
        <v>38.807288999999997</v>
      </c>
      <c r="F47" t="s">
        <v>1</v>
      </c>
      <c r="G47">
        <v>9.9549590000000006</v>
      </c>
      <c r="H47" t="s">
        <v>92</v>
      </c>
      <c r="I47" t="s">
        <v>46</v>
      </c>
      <c r="J47" t="s">
        <v>2</v>
      </c>
    </row>
    <row r="48" spans="1:10" x14ac:dyDescent="0.2">
      <c r="A48" t="s">
        <v>22</v>
      </c>
      <c r="B48" t="s">
        <v>21</v>
      </c>
      <c r="C48">
        <v>16904</v>
      </c>
      <c r="D48" t="s">
        <v>0</v>
      </c>
      <c r="E48">
        <v>37.035983999999999</v>
      </c>
      <c r="F48" t="s">
        <v>1</v>
      </c>
      <c r="G48">
        <v>10.628265000000001</v>
      </c>
      <c r="H48" t="s">
        <v>93</v>
      </c>
      <c r="I48" t="s">
        <v>46</v>
      </c>
      <c r="J48" t="s">
        <v>2</v>
      </c>
    </row>
    <row r="49" spans="1:10" x14ac:dyDescent="0.2">
      <c r="A49" t="s">
        <v>22</v>
      </c>
      <c r="B49" t="s">
        <v>21</v>
      </c>
      <c r="C49">
        <v>16763</v>
      </c>
      <c r="D49" t="s">
        <v>0</v>
      </c>
      <c r="E49">
        <v>35.265897000000002</v>
      </c>
      <c r="F49" t="s">
        <v>1</v>
      </c>
      <c r="G49">
        <v>9.7514710000000004</v>
      </c>
      <c r="H49" t="s">
        <v>94</v>
      </c>
      <c r="I49" t="s">
        <v>46</v>
      </c>
      <c r="J49" t="s">
        <v>2</v>
      </c>
    </row>
    <row r="50" spans="1:10" x14ac:dyDescent="0.2">
      <c r="A50" t="s">
        <v>22</v>
      </c>
      <c r="B50" t="s">
        <v>21</v>
      </c>
      <c r="C50">
        <v>17124</v>
      </c>
      <c r="D50" t="s">
        <v>0</v>
      </c>
      <c r="E50">
        <v>34.137658999999999</v>
      </c>
      <c r="F50" t="s">
        <v>1</v>
      </c>
      <c r="G50">
        <v>9.9353979999999993</v>
      </c>
      <c r="H50" t="s">
        <v>95</v>
      </c>
      <c r="I50" t="s">
        <v>46</v>
      </c>
      <c r="J50" t="s">
        <v>2</v>
      </c>
    </row>
    <row r="51" spans="1:10" x14ac:dyDescent="0.2">
      <c r="A51" t="s">
        <v>22</v>
      </c>
      <c r="B51" t="s">
        <v>21</v>
      </c>
      <c r="C51">
        <v>17031</v>
      </c>
      <c r="D51" t="s">
        <v>0</v>
      </c>
      <c r="E51">
        <v>36.482253</v>
      </c>
      <c r="F51" t="s">
        <v>1</v>
      </c>
      <c r="G51">
        <v>9.5347240000000006</v>
      </c>
      <c r="H51" t="s">
        <v>96</v>
      </c>
      <c r="I51" t="s">
        <v>46</v>
      </c>
      <c r="J51" t="s">
        <v>2</v>
      </c>
    </row>
    <row r="52" spans="1:10" x14ac:dyDescent="0.2">
      <c r="A52" t="s">
        <v>22</v>
      </c>
      <c r="B52" t="s">
        <v>21</v>
      </c>
      <c r="C52">
        <v>17930</v>
      </c>
      <c r="D52" t="s">
        <v>0</v>
      </c>
      <c r="E52">
        <v>36.431516000000002</v>
      </c>
      <c r="F52" t="s">
        <v>1</v>
      </c>
      <c r="G52">
        <v>9.4975260000000006</v>
      </c>
      <c r="H52" t="s">
        <v>97</v>
      </c>
      <c r="I52" t="s">
        <v>46</v>
      </c>
      <c r="J52" t="s">
        <v>2</v>
      </c>
    </row>
    <row r="53" spans="1:10" x14ac:dyDescent="0.2">
      <c r="A53" t="s">
        <v>22</v>
      </c>
      <c r="B53" t="s">
        <v>21</v>
      </c>
      <c r="C53">
        <v>17603</v>
      </c>
      <c r="D53" t="s">
        <v>0</v>
      </c>
      <c r="E53">
        <v>35.210923999999999</v>
      </c>
      <c r="F53" t="s">
        <v>1</v>
      </c>
      <c r="G53">
        <v>9.9325320000000001</v>
      </c>
      <c r="H53" t="s">
        <v>98</v>
      </c>
      <c r="I53" t="s">
        <v>46</v>
      </c>
      <c r="J53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53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23</v>
      </c>
      <c r="B1" t="s">
        <v>21</v>
      </c>
      <c r="C1">
        <v>17290</v>
      </c>
      <c r="D1" t="s">
        <v>0</v>
      </c>
      <c r="E1">
        <v>34.442914000000002</v>
      </c>
      <c r="F1" t="s">
        <v>1</v>
      </c>
      <c r="G1">
        <v>9.5229499999999998</v>
      </c>
      <c r="H1" t="s">
        <v>45</v>
      </c>
      <c r="I1" t="s">
        <v>46</v>
      </c>
      <c r="J1" t="s">
        <v>2</v>
      </c>
    </row>
    <row r="2" spans="1:10" x14ac:dyDescent="0.2">
      <c r="A2" t="s">
        <v>23</v>
      </c>
      <c r="B2" t="s">
        <v>21</v>
      </c>
      <c r="C2">
        <v>18696</v>
      </c>
      <c r="D2" t="s">
        <v>0</v>
      </c>
      <c r="E2">
        <v>37.108668999999999</v>
      </c>
      <c r="F2" t="s">
        <v>1</v>
      </c>
      <c r="G2">
        <v>8.5985820000000004</v>
      </c>
      <c r="H2" t="s">
        <v>47</v>
      </c>
      <c r="I2" t="s">
        <v>46</v>
      </c>
      <c r="J2" t="s">
        <v>2</v>
      </c>
    </row>
    <row r="3" spans="1:10" x14ac:dyDescent="0.2">
      <c r="A3" t="s">
        <v>23</v>
      </c>
      <c r="B3" t="s">
        <v>21</v>
      </c>
      <c r="C3">
        <v>17421</v>
      </c>
      <c r="D3" t="s">
        <v>0</v>
      </c>
      <c r="E3">
        <v>32.030678000000002</v>
      </c>
      <c r="F3" t="s">
        <v>1</v>
      </c>
      <c r="G3">
        <v>8.1893449999999994</v>
      </c>
      <c r="H3" t="s">
        <v>48</v>
      </c>
      <c r="I3" t="s">
        <v>46</v>
      </c>
      <c r="J3" t="s">
        <v>2</v>
      </c>
    </row>
    <row r="4" spans="1:10" x14ac:dyDescent="0.2">
      <c r="A4" t="s">
        <v>23</v>
      </c>
      <c r="B4" t="s">
        <v>21</v>
      </c>
      <c r="C4">
        <v>17087</v>
      </c>
      <c r="D4" t="s">
        <v>0</v>
      </c>
      <c r="E4">
        <v>33.710890999999997</v>
      </c>
      <c r="F4" t="s">
        <v>1</v>
      </c>
      <c r="G4">
        <v>8.7691730000000003</v>
      </c>
      <c r="H4" t="s">
        <v>49</v>
      </c>
      <c r="I4" t="s">
        <v>46</v>
      </c>
      <c r="J4" t="s">
        <v>2</v>
      </c>
    </row>
    <row r="5" spans="1:10" x14ac:dyDescent="0.2">
      <c r="A5" t="s">
        <v>23</v>
      </c>
      <c r="B5" t="s">
        <v>21</v>
      </c>
      <c r="C5">
        <v>17138</v>
      </c>
      <c r="D5" t="s">
        <v>0</v>
      </c>
      <c r="E5">
        <v>33.00347</v>
      </c>
      <c r="F5" t="s">
        <v>1</v>
      </c>
      <c r="G5">
        <v>9.5034919999999996</v>
      </c>
      <c r="H5" t="s">
        <v>50</v>
      </c>
      <c r="I5" t="s">
        <v>46</v>
      </c>
      <c r="J5" t="s">
        <v>2</v>
      </c>
    </row>
    <row r="6" spans="1:10" x14ac:dyDescent="0.2">
      <c r="A6" t="s">
        <v>23</v>
      </c>
      <c r="B6" t="s">
        <v>21</v>
      </c>
      <c r="C6">
        <v>17177</v>
      </c>
      <c r="D6" t="s">
        <v>0</v>
      </c>
      <c r="E6">
        <v>34.509731000000002</v>
      </c>
      <c r="F6" t="s">
        <v>1</v>
      </c>
      <c r="G6">
        <v>9.8979929999999996</v>
      </c>
      <c r="H6" t="s">
        <v>51</v>
      </c>
      <c r="I6" t="s">
        <v>46</v>
      </c>
      <c r="J6" t="s">
        <v>2</v>
      </c>
    </row>
    <row r="7" spans="1:10" x14ac:dyDescent="0.2">
      <c r="A7" t="s">
        <v>23</v>
      </c>
      <c r="B7" t="s">
        <v>21</v>
      </c>
      <c r="C7">
        <v>17349</v>
      </c>
      <c r="D7" t="s">
        <v>0</v>
      </c>
      <c r="E7">
        <v>34.345582</v>
      </c>
      <c r="F7" t="s">
        <v>1</v>
      </c>
      <c r="G7">
        <v>9.9778210000000005</v>
      </c>
      <c r="H7" t="s">
        <v>52</v>
      </c>
      <c r="I7" t="s">
        <v>46</v>
      </c>
      <c r="J7" t="s">
        <v>2</v>
      </c>
    </row>
    <row r="8" spans="1:10" x14ac:dyDescent="0.2">
      <c r="A8" t="s">
        <v>23</v>
      </c>
      <c r="B8" t="s">
        <v>21</v>
      </c>
      <c r="C8">
        <v>17605</v>
      </c>
      <c r="D8" t="s">
        <v>0</v>
      </c>
      <c r="E8">
        <v>34.210996999999999</v>
      </c>
      <c r="F8" t="s">
        <v>1</v>
      </c>
      <c r="G8">
        <v>9.4254680000000004</v>
      </c>
      <c r="H8" t="s">
        <v>53</v>
      </c>
      <c r="I8" t="s">
        <v>46</v>
      </c>
      <c r="J8" t="s">
        <v>2</v>
      </c>
    </row>
    <row r="9" spans="1:10" x14ac:dyDescent="0.2">
      <c r="A9" t="s">
        <v>23</v>
      </c>
      <c r="B9" t="s">
        <v>21</v>
      </c>
      <c r="C9">
        <v>16351</v>
      </c>
      <c r="D9" t="s">
        <v>0</v>
      </c>
      <c r="E9">
        <v>34.708677000000002</v>
      </c>
      <c r="F9" t="s">
        <v>1</v>
      </c>
      <c r="G9">
        <v>8.6416979999999999</v>
      </c>
      <c r="H9" t="s">
        <v>54</v>
      </c>
      <c r="I9" t="s">
        <v>46</v>
      </c>
      <c r="J9" t="s">
        <v>2</v>
      </c>
    </row>
    <row r="10" spans="1:10" x14ac:dyDescent="0.2">
      <c r="A10" t="s">
        <v>23</v>
      </c>
      <c r="B10" t="s">
        <v>21</v>
      </c>
      <c r="C10">
        <v>19184</v>
      </c>
      <c r="D10" t="s">
        <v>0</v>
      </c>
      <c r="E10">
        <v>33.936461999999999</v>
      </c>
      <c r="F10" t="s">
        <v>1</v>
      </c>
      <c r="G10">
        <v>10.079715999999999</v>
      </c>
      <c r="H10" t="s">
        <v>55</v>
      </c>
      <c r="I10" t="s">
        <v>46</v>
      </c>
      <c r="J10" t="s">
        <v>2</v>
      </c>
    </row>
    <row r="11" spans="1:10" x14ac:dyDescent="0.2">
      <c r="A11" t="s">
        <v>23</v>
      </c>
      <c r="B11" t="s">
        <v>21</v>
      </c>
      <c r="C11">
        <v>17596</v>
      </c>
      <c r="D11" t="s">
        <v>0</v>
      </c>
      <c r="E11">
        <v>33.252006999999999</v>
      </c>
      <c r="F11" t="s">
        <v>1</v>
      </c>
      <c r="G11">
        <v>9.5643429999999992</v>
      </c>
      <c r="H11" t="s">
        <v>56</v>
      </c>
      <c r="I11" t="s">
        <v>46</v>
      </c>
      <c r="J11" t="s">
        <v>2</v>
      </c>
    </row>
    <row r="12" spans="1:10" x14ac:dyDescent="0.2">
      <c r="A12" t="s">
        <v>23</v>
      </c>
      <c r="B12" t="s">
        <v>21</v>
      </c>
      <c r="C12">
        <v>17195</v>
      </c>
      <c r="D12" t="s">
        <v>0</v>
      </c>
      <c r="E12">
        <v>33.260683999999998</v>
      </c>
      <c r="F12" t="s">
        <v>1</v>
      </c>
      <c r="G12">
        <v>9.1931539999999998</v>
      </c>
      <c r="H12" t="s">
        <v>57</v>
      </c>
      <c r="I12" t="s">
        <v>46</v>
      </c>
      <c r="J12" t="s">
        <v>2</v>
      </c>
    </row>
    <row r="13" spans="1:10" x14ac:dyDescent="0.2">
      <c r="A13" t="s">
        <v>23</v>
      </c>
      <c r="B13" t="s">
        <v>21</v>
      </c>
      <c r="C13">
        <v>18407</v>
      </c>
      <c r="D13" t="s">
        <v>0</v>
      </c>
      <c r="E13">
        <v>36.244768000000001</v>
      </c>
      <c r="F13" t="s">
        <v>1</v>
      </c>
      <c r="G13">
        <v>10.142103000000001</v>
      </c>
      <c r="H13" t="s">
        <v>58</v>
      </c>
      <c r="I13" t="s">
        <v>46</v>
      </c>
      <c r="J13" t="s">
        <v>2</v>
      </c>
    </row>
    <row r="14" spans="1:10" x14ac:dyDescent="0.2">
      <c r="A14" t="s">
        <v>23</v>
      </c>
      <c r="B14" t="s">
        <v>21</v>
      </c>
      <c r="C14">
        <v>18163</v>
      </c>
      <c r="D14" t="s">
        <v>0</v>
      </c>
      <c r="E14">
        <v>34.685101000000003</v>
      </c>
      <c r="F14" t="s">
        <v>1</v>
      </c>
      <c r="G14">
        <v>9.9108280000000004</v>
      </c>
      <c r="H14" t="s">
        <v>59</v>
      </c>
      <c r="I14" t="s">
        <v>46</v>
      </c>
      <c r="J14" t="s">
        <v>2</v>
      </c>
    </row>
    <row r="15" spans="1:10" x14ac:dyDescent="0.2">
      <c r="A15" t="s">
        <v>23</v>
      </c>
      <c r="B15" t="s">
        <v>21</v>
      </c>
      <c r="C15">
        <v>18096</v>
      </c>
      <c r="D15" t="s">
        <v>0</v>
      </c>
      <c r="E15">
        <v>33.317385999999999</v>
      </c>
      <c r="F15" t="s">
        <v>1</v>
      </c>
      <c r="G15">
        <v>9.0513910000000006</v>
      </c>
      <c r="H15" t="s">
        <v>60</v>
      </c>
      <c r="I15" t="s">
        <v>46</v>
      </c>
      <c r="J15" t="s">
        <v>2</v>
      </c>
    </row>
    <row r="16" spans="1:10" x14ac:dyDescent="0.2">
      <c r="A16" t="s">
        <v>23</v>
      </c>
      <c r="B16" t="s">
        <v>21</v>
      </c>
      <c r="C16">
        <v>17287</v>
      </c>
      <c r="D16" t="s">
        <v>0</v>
      </c>
      <c r="E16">
        <v>33.410685999999998</v>
      </c>
      <c r="F16" t="s">
        <v>1</v>
      </c>
      <c r="G16">
        <v>9.3638200000000005</v>
      </c>
      <c r="H16" t="s">
        <v>61</v>
      </c>
      <c r="I16" t="s">
        <v>46</v>
      </c>
      <c r="J16" t="s">
        <v>2</v>
      </c>
    </row>
    <row r="17" spans="1:10" x14ac:dyDescent="0.2">
      <c r="A17" t="s">
        <v>23</v>
      </c>
      <c r="B17" t="s">
        <v>21</v>
      </c>
      <c r="C17">
        <v>13933</v>
      </c>
      <c r="D17" t="s">
        <v>0</v>
      </c>
      <c r="E17">
        <v>23.954122999999999</v>
      </c>
      <c r="F17" t="s">
        <v>1</v>
      </c>
      <c r="G17">
        <v>8.2077010000000001</v>
      </c>
      <c r="H17" t="s">
        <v>62</v>
      </c>
      <c r="I17" t="s">
        <v>46</v>
      </c>
      <c r="J17" t="s">
        <v>2</v>
      </c>
    </row>
    <row r="18" spans="1:10" x14ac:dyDescent="0.2">
      <c r="A18" t="s">
        <v>23</v>
      </c>
      <c r="B18" t="s">
        <v>21</v>
      </c>
      <c r="C18">
        <v>17243</v>
      </c>
      <c r="D18" t="s">
        <v>0</v>
      </c>
      <c r="E18">
        <v>34.176209</v>
      </c>
      <c r="F18" t="s">
        <v>1</v>
      </c>
      <c r="G18">
        <v>7.9441819999999996</v>
      </c>
      <c r="H18" t="s">
        <v>63</v>
      </c>
      <c r="I18" t="s">
        <v>46</v>
      </c>
      <c r="J18" t="s">
        <v>2</v>
      </c>
    </row>
    <row r="19" spans="1:10" x14ac:dyDescent="0.2">
      <c r="A19" t="s">
        <v>23</v>
      </c>
      <c r="B19" t="s">
        <v>21</v>
      </c>
      <c r="C19">
        <v>23270</v>
      </c>
      <c r="D19" t="s">
        <v>0</v>
      </c>
      <c r="E19">
        <v>39.859875000000002</v>
      </c>
      <c r="F19" t="s">
        <v>1</v>
      </c>
      <c r="G19">
        <v>12.063126</v>
      </c>
      <c r="H19" t="s">
        <v>64</v>
      </c>
      <c r="I19" t="s">
        <v>46</v>
      </c>
      <c r="J19" t="s">
        <v>2</v>
      </c>
    </row>
    <row r="20" spans="1:10" x14ac:dyDescent="0.2">
      <c r="A20" t="s">
        <v>23</v>
      </c>
      <c r="B20" t="s">
        <v>21</v>
      </c>
      <c r="C20">
        <v>17346</v>
      </c>
      <c r="D20" t="s">
        <v>0</v>
      </c>
      <c r="E20">
        <v>31.870135999999999</v>
      </c>
      <c r="F20" t="s">
        <v>1</v>
      </c>
      <c r="G20">
        <v>9.5602300000000007</v>
      </c>
      <c r="H20" t="s">
        <v>65</v>
      </c>
      <c r="I20" t="s">
        <v>46</v>
      </c>
      <c r="J20" t="s">
        <v>2</v>
      </c>
    </row>
    <row r="21" spans="1:10" x14ac:dyDescent="0.2">
      <c r="A21" t="s">
        <v>23</v>
      </c>
      <c r="B21" t="s">
        <v>21</v>
      </c>
      <c r="C21">
        <v>18787</v>
      </c>
      <c r="D21" t="s">
        <v>0</v>
      </c>
      <c r="E21">
        <v>37.244737000000001</v>
      </c>
      <c r="F21" t="s">
        <v>1</v>
      </c>
      <c r="G21">
        <v>11.107588</v>
      </c>
      <c r="H21" t="s">
        <v>66</v>
      </c>
      <c r="I21" t="s">
        <v>46</v>
      </c>
      <c r="J21" t="s">
        <v>2</v>
      </c>
    </row>
    <row r="22" spans="1:10" x14ac:dyDescent="0.2">
      <c r="A22" t="s">
        <v>23</v>
      </c>
      <c r="B22" t="s">
        <v>21</v>
      </c>
      <c r="C22">
        <v>17301</v>
      </c>
      <c r="D22" t="s">
        <v>0</v>
      </c>
      <c r="E22">
        <v>35.520200000000003</v>
      </c>
      <c r="F22" t="s">
        <v>1</v>
      </c>
      <c r="G22">
        <v>9.1671169999999993</v>
      </c>
      <c r="H22" t="s">
        <v>67</v>
      </c>
      <c r="I22" t="s">
        <v>46</v>
      </c>
      <c r="J22" t="s">
        <v>2</v>
      </c>
    </row>
    <row r="23" spans="1:10" x14ac:dyDescent="0.2">
      <c r="A23" t="s">
        <v>23</v>
      </c>
      <c r="B23" t="s">
        <v>21</v>
      </c>
      <c r="C23">
        <v>13943</v>
      </c>
      <c r="D23" t="s">
        <v>0</v>
      </c>
      <c r="E23">
        <v>24.263822000000001</v>
      </c>
      <c r="F23" t="s">
        <v>1</v>
      </c>
      <c r="G23">
        <v>7.5565490000000004</v>
      </c>
      <c r="H23" t="s">
        <v>68</v>
      </c>
      <c r="I23" t="s">
        <v>46</v>
      </c>
      <c r="J23" t="s">
        <v>2</v>
      </c>
    </row>
    <row r="24" spans="1:10" x14ac:dyDescent="0.2">
      <c r="A24" t="s">
        <v>23</v>
      </c>
      <c r="B24" t="s">
        <v>21</v>
      </c>
      <c r="C24">
        <v>17591</v>
      </c>
      <c r="D24" t="s">
        <v>0</v>
      </c>
      <c r="E24">
        <v>37.287332999999997</v>
      </c>
      <c r="F24" t="s">
        <v>1</v>
      </c>
      <c r="G24">
        <v>10.119248000000001</v>
      </c>
      <c r="H24" t="s">
        <v>69</v>
      </c>
      <c r="I24" t="s">
        <v>46</v>
      </c>
      <c r="J24" t="s">
        <v>2</v>
      </c>
    </row>
    <row r="25" spans="1:10" x14ac:dyDescent="0.2">
      <c r="A25" t="s">
        <v>23</v>
      </c>
      <c r="B25" t="s">
        <v>21</v>
      </c>
      <c r="C25">
        <v>20141</v>
      </c>
      <c r="D25" t="s">
        <v>0</v>
      </c>
      <c r="E25">
        <v>33.022973999999998</v>
      </c>
      <c r="F25" t="s">
        <v>1</v>
      </c>
      <c r="G25">
        <v>10.193673</v>
      </c>
      <c r="H25" t="s">
        <v>70</v>
      </c>
      <c r="I25" t="s">
        <v>46</v>
      </c>
      <c r="J25" t="s">
        <v>2</v>
      </c>
    </row>
    <row r="26" spans="1:10" x14ac:dyDescent="0.2">
      <c r="A26" t="s">
        <v>23</v>
      </c>
      <c r="B26" t="s">
        <v>21</v>
      </c>
      <c r="C26">
        <v>20150</v>
      </c>
      <c r="D26" t="s">
        <v>0</v>
      </c>
      <c r="E26">
        <v>34.991549999999997</v>
      </c>
      <c r="F26" t="s">
        <v>1</v>
      </c>
      <c r="G26">
        <v>10.540409</v>
      </c>
      <c r="H26" t="s">
        <v>71</v>
      </c>
      <c r="I26" t="s">
        <v>46</v>
      </c>
      <c r="J26" t="s">
        <v>2</v>
      </c>
    </row>
    <row r="27" spans="1:10" x14ac:dyDescent="0.2">
      <c r="A27" t="s">
        <v>23</v>
      </c>
      <c r="B27" t="s">
        <v>21</v>
      </c>
      <c r="C27">
        <v>17052</v>
      </c>
      <c r="D27" t="s">
        <v>0</v>
      </c>
      <c r="E27">
        <v>34.104700000000001</v>
      </c>
      <c r="F27" t="s">
        <v>1</v>
      </c>
      <c r="G27">
        <v>9.0719659999999998</v>
      </c>
      <c r="H27" t="s">
        <v>72</v>
      </c>
      <c r="I27" t="s">
        <v>46</v>
      </c>
      <c r="J27" t="s">
        <v>2</v>
      </c>
    </row>
    <row r="28" spans="1:10" x14ac:dyDescent="0.2">
      <c r="A28" t="s">
        <v>23</v>
      </c>
      <c r="B28" t="s">
        <v>21</v>
      </c>
      <c r="C28">
        <v>17067</v>
      </c>
      <c r="D28" t="s">
        <v>0</v>
      </c>
      <c r="E28">
        <v>34.839674000000002</v>
      </c>
      <c r="F28" t="s">
        <v>1</v>
      </c>
      <c r="G28">
        <v>9.4592890000000001</v>
      </c>
      <c r="H28" t="s">
        <v>73</v>
      </c>
      <c r="I28" t="s">
        <v>46</v>
      </c>
      <c r="J28" t="s">
        <v>2</v>
      </c>
    </row>
    <row r="29" spans="1:10" x14ac:dyDescent="0.2">
      <c r="A29" t="s">
        <v>23</v>
      </c>
      <c r="B29" t="s">
        <v>21</v>
      </c>
      <c r="C29">
        <v>17230</v>
      </c>
      <c r="D29" t="s">
        <v>0</v>
      </c>
      <c r="E29">
        <v>34.964233</v>
      </c>
      <c r="F29" t="s">
        <v>1</v>
      </c>
      <c r="G29">
        <v>9.3650000000000002</v>
      </c>
      <c r="H29" t="s">
        <v>74</v>
      </c>
      <c r="I29" t="s">
        <v>46</v>
      </c>
      <c r="J29" t="s">
        <v>2</v>
      </c>
    </row>
    <row r="30" spans="1:10" x14ac:dyDescent="0.2">
      <c r="A30" t="s">
        <v>23</v>
      </c>
      <c r="B30" t="s">
        <v>21</v>
      </c>
      <c r="C30">
        <v>17849</v>
      </c>
      <c r="D30" t="s">
        <v>0</v>
      </c>
      <c r="E30">
        <v>34.497354000000001</v>
      </c>
      <c r="F30" t="s">
        <v>1</v>
      </c>
      <c r="G30">
        <v>9.1274909999999991</v>
      </c>
      <c r="H30" t="s">
        <v>75</v>
      </c>
      <c r="I30" t="s">
        <v>46</v>
      </c>
      <c r="J30" t="s">
        <v>2</v>
      </c>
    </row>
    <row r="31" spans="1:10" x14ac:dyDescent="0.2">
      <c r="A31" t="s">
        <v>23</v>
      </c>
      <c r="B31" t="s">
        <v>21</v>
      </c>
      <c r="C31">
        <v>20789</v>
      </c>
      <c r="D31" t="s">
        <v>0</v>
      </c>
      <c r="E31">
        <v>37.319006000000002</v>
      </c>
      <c r="F31" t="s">
        <v>1</v>
      </c>
      <c r="G31">
        <v>9.8484079999999992</v>
      </c>
      <c r="H31" t="s">
        <v>76</v>
      </c>
      <c r="I31" t="s">
        <v>46</v>
      </c>
      <c r="J31" t="s">
        <v>2</v>
      </c>
    </row>
    <row r="32" spans="1:10" x14ac:dyDescent="0.2">
      <c r="A32" t="s">
        <v>23</v>
      </c>
      <c r="B32" t="s">
        <v>21</v>
      </c>
      <c r="C32">
        <v>19254</v>
      </c>
      <c r="D32" t="s">
        <v>0</v>
      </c>
      <c r="E32">
        <v>38.627018</v>
      </c>
      <c r="F32" t="s">
        <v>1</v>
      </c>
      <c r="G32">
        <v>9.657152</v>
      </c>
      <c r="H32" t="s">
        <v>77</v>
      </c>
      <c r="I32" t="s">
        <v>46</v>
      </c>
      <c r="J32" t="s">
        <v>2</v>
      </c>
    </row>
    <row r="33" spans="1:10" x14ac:dyDescent="0.2">
      <c r="A33" t="s">
        <v>23</v>
      </c>
      <c r="B33" t="s">
        <v>21</v>
      </c>
      <c r="C33">
        <v>16904</v>
      </c>
      <c r="D33" t="s">
        <v>0</v>
      </c>
      <c r="E33">
        <v>35.633935999999999</v>
      </c>
      <c r="F33" t="s">
        <v>1</v>
      </c>
      <c r="G33">
        <v>10.542941000000001</v>
      </c>
      <c r="H33" t="s">
        <v>78</v>
      </c>
      <c r="I33" t="s">
        <v>46</v>
      </c>
      <c r="J33" t="s">
        <v>2</v>
      </c>
    </row>
    <row r="34" spans="1:10" x14ac:dyDescent="0.2">
      <c r="A34" t="s">
        <v>23</v>
      </c>
      <c r="B34" t="s">
        <v>21</v>
      </c>
      <c r="C34">
        <v>17261</v>
      </c>
      <c r="D34" t="s">
        <v>0</v>
      </c>
      <c r="E34">
        <v>33.507831000000003</v>
      </c>
      <c r="F34" t="s">
        <v>1</v>
      </c>
      <c r="G34">
        <v>9.1423170000000002</v>
      </c>
      <c r="H34" t="s">
        <v>79</v>
      </c>
      <c r="I34" t="s">
        <v>46</v>
      </c>
      <c r="J34" t="s">
        <v>2</v>
      </c>
    </row>
    <row r="35" spans="1:10" x14ac:dyDescent="0.2">
      <c r="A35" t="s">
        <v>23</v>
      </c>
      <c r="B35" t="s">
        <v>21</v>
      </c>
      <c r="C35">
        <v>17438</v>
      </c>
      <c r="D35" t="s">
        <v>0</v>
      </c>
      <c r="E35">
        <v>34.493175999999998</v>
      </c>
      <c r="F35" t="s">
        <v>1</v>
      </c>
      <c r="G35">
        <v>9.0103530000000003</v>
      </c>
      <c r="H35" t="s">
        <v>80</v>
      </c>
      <c r="I35" t="s">
        <v>46</v>
      </c>
      <c r="J35" t="s">
        <v>2</v>
      </c>
    </row>
    <row r="36" spans="1:10" x14ac:dyDescent="0.2">
      <c r="A36" t="s">
        <v>23</v>
      </c>
      <c r="B36" t="s">
        <v>21</v>
      </c>
      <c r="C36">
        <v>17213</v>
      </c>
      <c r="D36" t="s">
        <v>0</v>
      </c>
      <c r="E36">
        <v>31.478650999999999</v>
      </c>
      <c r="F36" t="s">
        <v>1</v>
      </c>
      <c r="G36">
        <v>8.4395019999999992</v>
      </c>
      <c r="H36" t="s">
        <v>81</v>
      </c>
      <c r="I36" t="s">
        <v>46</v>
      </c>
      <c r="J36" t="s">
        <v>2</v>
      </c>
    </row>
    <row r="37" spans="1:10" x14ac:dyDescent="0.2">
      <c r="A37" t="s">
        <v>23</v>
      </c>
      <c r="B37" t="s">
        <v>21</v>
      </c>
      <c r="C37">
        <v>17983</v>
      </c>
      <c r="D37" t="s">
        <v>0</v>
      </c>
      <c r="E37">
        <v>33.711364000000003</v>
      </c>
      <c r="F37" t="s">
        <v>1</v>
      </c>
      <c r="G37">
        <v>11.431995000000001</v>
      </c>
      <c r="H37" t="s">
        <v>82</v>
      </c>
      <c r="I37" t="s">
        <v>46</v>
      </c>
      <c r="J37" t="s">
        <v>2</v>
      </c>
    </row>
    <row r="38" spans="1:10" x14ac:dyDescent="0.2">
      <c r="A38" t="s">
        <v>23</v>
      </c>
      <c r="B38" t="s">
        <v>21</v>
      </c>
      <c r="C38">
        <v>16784</v>
      </c>
      <c r="D38" t="s">
        <v>0</v>
      </c>
      <c r="E38">
        <v>34.225752999999997</v>
      </c>
      <c r="F38" t="s">
        <v>1</v>
      </c>
      <c r="G38">
        <v>9.5567430000000009</v>
      </c>
      <c r="H38" t="s">
        <v>83</v>
      </c>
      <c r="I38" t="s">
        <v>46</v>
      </c>
      <c r="J38" t="s">
        <v>2</v>
      </c>
    </row>
    <row r="39" spans="1:10" x14ac:dyDescent="0.2">
      <c r="A39" t="s">
        <v>23</v>
      </c>
      <c r="B39" t="s">
        <v>21</v>
      </c>
      <c r="C39">
        <v>17150</v>
      </c>
      <c r="D39" t="s">
        <v>0</v>
      </c>
      <c r="E39">
        <v>39.191665</v>
      </c>
      <c r="F39" t="s">
        <v>1</v>
      </c>
      <c r="G39">
        <v>10.884050999999999</v>
      </c>
      <c r="H39" t="s">
        <v>84</v>
      </c>
      <c r="I39" t="s">
        <v>46</v>
      </c>
      <c r="J39" t="s">
        <v>2</v>
      </c>
    </row>
    <row r="40" spans="1:10" x14ac:dyDescent="0.2">
      <c r="A40" t="s">
        <v>23</v>
      </c>
      <c r="B40" t="s">
        <v>21</v>
      </c>
      <c r="C40">
        <v>18976</v>
      </c>
      <c r="D40" t="s">
        <v>0</v>
      </c>
      <c r="E40">
        <v>32.700153999999998</v>
      </c>
      <c r="F40" t="s">
        <v>1</v>
      </c>
      <c r="G40">
        <v>9.6601669999999995</v>
      </c>
      <c r="H40" t="s">
        <v>85</v>
      </c>
      <c r="I40" t="s">
        <v>46</v>
      </c>
      <c r="J40" t="s">
        <v>2</v>
      </c>
    </row>
    <row r="41" spans="1:10" x14ac:dyDescent="0.2">
      <c r="A41" t="s">
        <v>23</v>
      </c>
      <c r="B41" t="s">
        <v>21</v>
      </c>
      <c r="C41">
        <v>17380</v>
      </c>
      <c r="D41" t="s">
        <v>0</v>
      </c>
      <c r="E41">
        <v>35.503005999999999</v>
      </c>
      <c r="F41" t="s">
        <v>1</v>
      </c>
      <c r="G41">
        <v>10.341828</v>
      </c>
      <c r="H41" t="s">
        <v>86</v>
      </c>
      <c r="I41" t="s">
        <v>46</v>
      </c>
      <c r="J41" t="s">
        <v>2</v>
      </c>
    </row>
    <row r="42" spans="1:10" x14ac:dyDescent="0.2">
      <c r="A42" t="s">
        <v>23</v>
      </c>
      <c r="B42" t="s">
        <v>21</v>
      </c>
      <c r="C42">
        <v>17453</v>
      </c>
      <c r="D42" t="s">
        <v>0</v>
      </c>
      <c r="E42">
        <v>34.323714000000002</v>
      </c>
      <c r="F42" t="s">
        <v>1</v>
      </c>
      <c r="G42">
        <v>9.7754589999999997</v>
      </c>
      <c r="H42" t="s">
        <v>87</v>
      </c>
      <c r="I42" t="s">
        <v>46</v>
      </c>
      <c r="J42" t="s">
        <v>2</v>
      </c>
    </row>
    <row r="43" spans="1:10" x14ac:dyDescent="0.2">
      <c r="A43" t="s">
        <v>23</v>
      </c>
      <c r="B43" t="s">
        <v>21</v>
      </c>
      <c r="C43">
        <v>17074</v>
      </c>
      <c r="D43" t="s">
        <v>0</v>
      </c>
      <c r="E43">
        <v>34.074016999999998</v>
      </c>
      <c r="F43" t="s">
        <v>1</v>
      </c>
      <c r="G43">
        <v>8.990793</v>
      </c>
      <c r="H43" t="s">
        <v>88</v>
      </c>
      <c r="I43" t="s">
        <v>46</v>
      </c>
      <c r="J43" t="s">
        <v>2</v>
      </c>
    </row>
    <row r="44" spans="1:10" x14ac:dyDescent="0.2">
      <c r="A44" t="s">
        <v>23</v>
      </c>
      <c r="B44" t="s">
        <v>21</v>
      </c>
      <c r="C44">
        <v>16880</v>
      </c>
      <c r="D44" t="s">
        <v>0</v>
      </c>
      <c r="E44">
        <v>33.260354999999997</v>
      </c>
      <c r="F44" t="s">
        <v>1</v>
      </c>
      <c r="G44">
        <v>8.9543230000000005</v>
      </c>
      <c r="H44" t="s">
        <v>89</v>
      </c>
      <c r="I44" t="s">
        <v>46</v>
      </c>
      <c r="J44" t="s">
        <v>2</v>
      </c>
    </row>
    <row r="45" spans="1:10" x14ac:dyDescent="0.2">
      <c r="A45" t="s">
        <v>23</v>
      </c>
      <c r="B45" t="s">
        <v>21</v>
      </c>
      <c r="C45">
        <v>20179</v>
      </c>
      <c r="D45" t="s">
        <v>0</v>
      </c>
      <c r="E45">
        <v>39.739341000000003</v>
      </c>
      <c r="F45" t="s">
        <v>1</v>
      </c>
      <c r="G45">
        <v>10.522475999999999</v>
      </c>
      <c r="H45" t="s">
        <v>90</v>
      </c>
      <c r="I45" t="s">
        <v>46</v>
      </c>
      <c r="J45" t="s">
        <v>2</v>
      </c>
    </row>
    <row r="46" spans="1:10" x14ac:dyDescent="0.2">
      <c r="A46" t="s">
        <v>23</v>
      </c>
      <c r="B46" t="s">
        <v>21</v>
      </c>
      <c r="C46">
        <v>18206</v>
      </c>
      <c r="D46" t="s">
        <v>0</v>
      </c>
      <c r="E46">
        <v>40.032103999999997</v>
      </c>
      <c r="F46" t="s">
        <v>1</v>
      </c>
      <c r="G46">
        <v>9.9659759999999995</v>
      </c>
      <c r="H46" t="s">
        <v>91</v>
      </c>
      <c r="I46" t="s">
        <v>46</v>
      </c>
      <c r="J46" t="s">
        <v>2</v>
      </c>
    </row>
    <row r="47" spans="1:10" x14ac:dyDescent="0.2">
      <c r="A47" t="s">
        <v>23</v>
      </c>
      <c r="B47" t="s">
        <v>21</v>
      </c>
      <c r="C47">
        <v>18270</v>
      </c>
      <c r="D47" t="s">
        <v>0</v>
      </c>
      <c r="E47">
        <v>34.599704000000003</v>
      </c>
      <c r="F47" t="s">
        <v>1</v>
      </c>
      <c r="G47">
        <v>10.391819999999999</v>
      </c>
      <c r="H47" t="s">
        <v>92</v>
      </c>
      <c r="I47" t="s">
        <v>46</v>
      </c>
      <c r="J47" t="s">
        <v>2</v>
      </c>
    </row>
    <row r="48" spans="1:10" x14ac:dyDescent="0.2">
      <c r="A48" t="s">
        <v>23</v>
      </c>
      <c r="B48" t="s">
        <v>21</v>
      </c>
      <c r="C48">
        <v>16904</v>
      </c>
      <c r="D48" t="s">
        <v>0</v>
      </c>
      <c r="E48">
        <v>35.639201999999997</v>
      </c>
      <c r="F48" t="s">
        <v>1</v>
      </c>
      <c r="G48">
        <v>10.863327999999999</v>
      </c>
      <c r="H48" t="s">
        <v>93</v>
      </c>
      <c r="I48" t="s">
        <v>46</v>
      </c>
      <c r="J48" t="s">
        <v>2</v>
      </c>
    </row>
    <row r="49" spans="1:10" x14ac:dyDescent="0.2">
      <c r="A49" t="s">
        <v>23</v>
      </c>
      <c r="B49" t="s">
        <v>21</v>
      </c>
      <c r="C49">
        <v>16763</v>
      </c>
      <c r="D49" t="s">
        <v>0</v>
      </c>
      <c r="E49">
        <v>34.925637999999999</v>
      </c>
      <c r="F49" t="s">
        <v>1</v>
      </c>
      <c r="G49">
        <v>9.7939500000000006</v>
      </c>
      <c r="H49" t="s">
        <v>94</v>
      </c>
      <c r="I49" t="s">
        <v>46</v>
      </c>
      <c r="J49" t="s">
        <v>2</v>
      </c>
    </row>
    <row r="50" spans="1:10" x14ac:dyDescent="0.2">
      <c r="A50" t="s">
        <v>23</v>
      </c>
      <c r="B50" t="s">
        <v>21</v>
      </c>
      <c r="C50">
        <v>17124</v>
      </c>
      <c r="D50" t="s">
        <v>0</v>
      </c>
      <c r="E50">
        <v>35.349640999999998</v>
      </c>
      <c r="F50" t="s">
        <v>1</v>
      </c>
      <c r="G50">
        <v>9.7178489999999993</v>
      </c>
      <c r="H50" t="s">
        <v>95</v>
      </c>
      <c r="I50" t="s">
        <v>46</v>
      </c>
      <c r="J50" t="s">
        <v>2</v>
      </c>
    </row>
    <row r="51" spans="1:10" x14ac:dyDescent="0.2">
      <c r="A51" t="s">
        <v>23</v>
      </c>
      <c r="B51" t="s">
        <v>21</v>
      </c>
      <c r="C51">
        <v>17031</v>
      </c>
      <c r="D51" t="s">
        <v>0</v>
      </c>
      <c r="E51">
        <v>33.614617000000003</v>
      </c>
      <c r="F51" t="s">
        <v>1</v>
      </c>
      <c r="G51">
        <v>9.2793580000000002</v>
      </c>
      <c r="H51" t="s">
        <v>96</v>
      </c>
      <c r="I51" t="s">
        <v>46</v>
      </c>
      <c r="J51" t="s">
        <v>2</v>
      </c>
    </row>
    <row r="52" spans="1:10" x14ac:dyDescent="0.2">
      <c r="A52" t="s">
        <v>23</v>
      </c>
      <c r="B52" t="s">
        <v>21</v>
      </c>
      <c r="C52">
        <v>17930</v>
      </c>
      <c r="D52" t="s">
        <v>0</v>
      </c>
      <c r="E52">
        <v>38.687778999999999</v>
      </c>
      <c r="F52" t="s">
        <v>1</v>
      </c>
      <c r="G52">
        <v>10.839744</v>
      </c>
      <c r="H52" t="s">
        <v>97</v>
      </c>
      <c r="I52" t="s">
        <v>46</v>
      </c>
      <c r="J52" t="s">
        <v>2</v>
      </c>
    </row>
    <row r="53" spans="1:10" x14ac:dyDescent="0.2">
      <c r="A53" t="s">
        <v>23</v>
      </c>
      <c r="B53" t="s">
        <v>21</v>
      </c>
      <c r="C53">
        <v>17603</v>
      </c>
      <c r="D53" t="s">
        <v>0</v>
      </c>
      <c r="E53">
        <v>36.368031999999999</v>
      </c>
      <c r="F53" t="s">
        <v>1</v>
      </c>
      <c r="G53">
        <v>9.3853310000000008</v>
      </c>
      <c r="H53" t="s">
        <v>98</v>
      </c>
      <c r="I53" t="s">
        <v>46</v>
      </c>
      <c r="J53" t="s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53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24</v>
      </c>
      <c r="B1" t="s">
        <v>21</v>
      </c>
      <c r="C1">
        <v>17290</v>
      </c>
      <c r="D1" t="s">
        <v>0</v>
      </c>
      <c r="E1">
        <v>34.268974</v>
      </c>
      <c r="F1" t="s">
        <v>1</v>
      </c>
      <c r="G1">
        <v>9.8093529999999998</v>
      </c>
      <c r="H1" t="s">
        <v>45</v>
      </c>
      <c r="I1" t="s">
        <v>46</v>
      </c>
      <c r="J1" t="s">
        <v>2</v>
      </c>
    </row>
    <row r="2" spans="1:10" x14ac:dyDescent="0.2">
      <c r="A2" t="s">
        <v>24</v>
      </c>
      <c r="B2" t="s">
        <v>21</v>
      </c>
      <c r="C2">
        <v>18696</v>
      </c>
      <c r="D2" t="s">
        <v>0</v>
      </c>
      <c r="E2">
        <v>47.635308999999999</v>
      </c>
      <c r="F2" t="s">
        <v>1</v>
      </c>
      <c r="G2">
        <v>9.2466380000000008</v>
      </c>
      <c r="H2" t="s">
        <v>47</v>
      </c>
      <c r="I2" t="s">
        <v>46</v>
      </c>
      <c r="J2" t="s">
        <v>2</v>
      </c>
    </row>
    <row r="3" spans="1:10" x14ac:dyDescent="0.2">
      <c r="A3" t="s">
        <v>24</v>
      </c>
      <c r="B3" t="s">
        <v>21</v>
      </c>
      <c r="C3">
        <v>17421</v>
      </c>
      <c r="D3" t="s">
        <v>0</v>
      </c>
      <c r="E3">
        <v>37.357489999999999</v>
      </c>
      <c r="F3" t="s">
        <v>1</v>
      </c>
      <c r="G3">
        <v>9.4007369999999995</v>
      </c>
      <c r="H3" t="s">
        <v>48</v>
      </c>
      <c r="I3" t="s">
        <v>46</v>
      </c>
      <c r="J3" t="s">
        <v>2</v>
      </c>
    </row>
    <row r="4" spans="1:10" x14ac:dyDescent="0.2">
      <c r="A4" t="s">
        <v>24</v>
      </c>
      <c r="B4" t="s">
        <v>21</v>
      </c>
      <c r="C4">
        <v>17087</v>
      </c>
      <c r="D4" t="s">
        <v>0</v>
      </c>
      <c r="E4">
        <v>37.224707000000002</v>
      </c>
      <c r="F4" t="s">
        <v>1</v>
      </c>
      <c r="G4">
        <v>9.2095029999999998</v>
      </c>
      <c r="H4" t="s">
        <v>49</v>
      </c>
      <c r="I4" t="s">
        <v>46</v>
      </c>
      <c r="J4" t="s">
        <v>2</v>
      </c>
    </row>
    <row r="5" spans="1:10" x14ac:dyDescent="0.2">
      <c r="A5" t="s">
        <v>24</v>
      </c>
      <c r="B5" t="s">
        <v>21</v>
      </c>
      <c r="C5">
        <v>17138</v>
      </c>
      <c r="D5" t="s">
        <v>0</v>
      </c>
      <c r="E5">
        <v>36.312556999999998</v>
      </c>
      <c r="F5" t="s">
        <v>1</v>
      </c>
      <c r="G5">
        <v>9.0030809999999999</v>
      </c>
      <c r="H5" t="s">
        <v>50</v>
      </c>
      <c r="I5" t="s">
        <v>46</v>
      </c>
      <c r="J5" t="s">
        <v>2</v>
      </c>
    </row>
    <row r="6" spans="1:10" x14ac:dyDescent="0.2">
      <c r="A6" t="s">
        <v>24</v>
      </c>
      <c r="B6" t="s">
        <v>21</v>
      </c>
      <c r="C6">
        <v>17177</v>
      </c>
      <c r="D6" t="s">
        <v>0</v>
      </c>
      <c r="E6">
        <v>34.884391999999998</v>
      </c>
      <c r="F6" t="s">
        <v>1</v>
      </c>
      <c r="G6">
        <v>9.8680299999999992</v>
      </c>
      <c r="H6" t="s">
        <v>51</v>
      </c>
      <c r="I6" t="s">
        <v>46</v>
      </c>
      <c r="J6" t="s">
        <v>2</v>
      </c>
    </row>
    <row r="7" spans="1:10" x14ac:dyDescent="0.2">
      <c r="A7" t="s">
        <v>24</v>
      </c>
      <c r="B7" t="s">
        <v>21</v>
      </c>
      <c r="C7">
        <v>17349</v>
      </c>
      <c r="D7" t="s">
        <v>0</v>
      </c>
      <c r="E7">
        <v>34.910235</v>
      </c>
      <c r="F7" t="s">
        <v>1</v>
      </c>
      <c r="G7">
        <v>9.8998340000000002</v>
      </c>
      <c r="H7" t="s">
        <v>52</v>
      </c>
      <c r="I7" t="s">
        <v>46</v>
      </c>
      <c r="J7" t="s">
        <v>2</v>
      </c>
    </row>
    <row r="8" spans="1:10" x14ac:dyDescent="0.2">
      <c r="A8" t="s">
        <v>24</v>
      </c>
      <c r="B8" t="s">
        <v>21</v>
      </c>
      <c r="C8">
        <v>17605</v>
      </c>
      <c r="D8" t="s">
        <v>0</v>
      </c>
      <c r="E8">
        <v>36.560563000000002</v>
      </c>
      <c r="F8" t="s">
        <v>1</v>
      </c>
      <c r="G8">
        <v>9.9435459999999996</v>
      </c>
      <c r="H8" t="s">
        <v>53</v>
      </c>
      <c r="I8" t="s">
        <v>46</v>
      </c>
      <c r="J8" t="s">
        <v>2</v>
      </c>
    </row>
    <row r="9" spans="1:10" x14ac:dyDescent="0.2">
      <c r="A9" t="s">
        <v>24</v>
      </c>
      <c r="B9" t="s">
        <v>21</v>
      </c>
      <c r="C9">
        <v>16351</v>
      </c>
      <c r="D9" t="s">
        <v>0</v>
      </c>
      <c r="E9">
        <v>35.860705000000003</v>
      </c>
      <c r="F9" t="s">
        <v>1</v>
      </c>
      <c r="G9">
        <v>9.2859610000000004</v>
      </c>
      <c r="H9" t="s">
        <v>54</v>
      </c>
      <c r="I9" t="s">
        <v>46</v>
      </c>
      <c r="J9" t="s">
        <v>2</v>
      </c>
    </row>
    <row r="10" spans="1:10" x14ac:dyDescent="0.2">
      <c r="A10" t="s">
        <v>24</v>
      </c>
      <c r="B10" t="s">
        <v>21</v>
      </c>
      <c r="C10">
        <v>19184</v>
      </c>
      <c r="D10" t="s">
        <v>0</v>
      </c>
      <c r="E10">
        <v>34.377845999999998</v>
      </c>
      <c r="F10" t="s">
        <v>1</v>
      </c>
      <c r="G10">
        <v>10.483108</v>
      </c>
      <c r="H10" t="s">
        <v>55</v>
      </c>
      <c r="I10" t="s">
        <v>46</v>
      </c>
      <c r="J10" t="s">
        <v>2</v>
      </c>
    </row>
    <row r="11" spans="1:10" x14ac:dyDescent="0.2">
      <c r="A11" t="s">
        <v>24</v>
      </c>
      <c r="B11" t="s">
        <v>21</v>
      </c>
      <c r="C11">
        <v>17596</v>
      </c>
      <c r="D11" t="s">
        <v>0</v>
      </c>
      <c r="E11">
        <v>40.960766999999997</v>
      </c>
      <c r="F11" t="s">
        <v>1</v>
      </c>
      <c r="G11">
        <v>10.292177000000001</v>
      </c>
      <c r="H11" t="s">
        <v>56</v>
      </c>
      <c r="I11" t="s">
        <v>46</v>
      </c>
      <c r="J11" t="s">
        <v>2</v>
      </c>
    </row>
    <row r="12" spans="1:10" x14ac:dyDescent="0.2">
      <c r="A12" t="s">
        <v>24</v>
      </c>
      <c r="B12" t="s">
        <v>21</v>
      </c>
      <c r="C12">
        <v>17195</v>
      </c>
      <c r="D12" t="s">
        <v>0</v>
      </c>
      <c r="E12">
        <v>34.659153000000003</v>
      </c>
      <c r="F12" t="s">
        <v>1</v>
      </c>
      <c r="G12">
        <v>9.0142100000000003</v>
      </c>
      <c r="H12" t="s">
        <v>57</v>
      </c>
      <c r="I12" t="s">
        <v>46</v>
      </c>
      <c r="J12" t="s">
        <v>2</v>
      </c>
    </row>
    <row r="13" spans="1:10" x14ac:dyDescent="0.2">
      <c r="A13" t="s">
        <v>24</v>
      </c>
      <c r="B13" t="s">
        <v>21</v>
      </c>
      <c r="C13">
        <v>18407</v>
      </c>
      <c r="D13" t="s">
        <v>0</v>
      </c>
      <c r="E13">
        <v>34.549751999999998</v>
      </c>
      <c r="F13" t="s">
        <v>1</v>
      </c>
      <c r="G13">
        <v>9.6235579999999992</v>
      </c>
      <c r="H13" t="s">
        <v>58</v>
      </c>
      <c r="I13" t="s">
        <v>46</v>
      </c>
      <c r="J13" t="s">
        <v>2</v>
      </c>
    </row>
    <row r="14" spans="1:10" x14ac:dyDescent="0.2">
      <c r="A14" t="s">
        <v>24</v>
      </c>
      <c r="B14" t="s">
        <v>21</v>
      </c>
      <c r="C14">
        <v>18163</v>
      </c>
      <c r="D14" t="s">
        <v>0</v>
      </c>
      <c r="E14">
        <v>36.522652000000001</v>
      </c>
      <c r="F14" t="s">
        <v>1</v>
      </c>
      <c r="G14">
        <v>10.155519999999999</v>
      </c>
      <c r="H14" t="s">
        <v>59</v>
      </c>
      <c r="I14" t="s">
        <v>46</v>
      </c>
      <c r="J14" t="s">
        <v>2</v>
      </c>
    </row>
    <row r="15" spans="1:10" x14ac:dyDescent="0.2">
      <c r="A15" t="s">
        <v>24</v>
      </c>
      <c r="B15" t="s">
        <v>21</v>
      </c>
      <c r="C15">
        <v>18096</v>
      </c>
      <c r="D15" t="s">
        <v>0</v>
      </c>
      <c r="E15">
        <v>35.999910999999997</v>
      </c>
      <c r="F15" t="s">
        <v>1</v>
      </c>
      <c r="G15">
        <v>9.6803969999999993</v>
      </c>
      <c r="H15" t="s">
        <v>60</v>
      </c>
      <c r="I15" t="s">
        <v>46</v>
      </c>
      <c r="J15" t="s">
        <v>2</v>
      </c>
    </row>
    <row r="16" spans="1:10" x14ac:dyDescent="0.2">
      <c r="A16" t="s">
        <v>24</v>
      </c>
      <c r="B16" t="s">
        <v>21</v>
      </c>
      <c r="C16">
        <v>17287</v>
      </c>
      <c r="D16" t="s">
        <v>0</v>
      </c>
      <c r="E16">
        <v>34.309542</v>
      </c>
      <c r="F16" t="s">
        <v>1</v>
      </c>
      <c r="G16">
        <v>10.469137</v>
      </c>
      <c r="H16" t="s">
        <v>61</v>
      </c>
      <c r="I16" t="s">
        <v>46</v>
      </c>
      <c r="J16" t="s">
        <v>2</v>
      </c>
    </row>
    <row r="17" spans="1:10" x14ac:dyDescent="0.2">
      <c r="A17" t="s">
        <v>24</v>
      </c>
      <c r="B17" t="s">
        <v>21</v>
      </c>
      <c r="C17">
        <v>13933</v>
      </c>
      <c r="D17" t="s">
        <v>0</v>
      </c>
      <c r="E17">
        <v>26.640592999999999</v>
      </c>
      <c r="F17" t="s">
        <v>1</v>
      </c>
      <c r="G17">
        <v>8.2196540000000002</v>
      </c>
      <c r="H17" t="s">
        <v>62</v>
      </c>
      <c r="I17" t="s">
        <v>46</v>
      </c>
      <c r="J17" t="s">
        <v>2</v>
      </c>
    </row>
    <row r="18" spans="1:10" x14ac:dyDescent="0.2">
      <c r="A18" t="s">
        <v>24</v>
      </c>
      <c r="B18" t="s">
        <v>21</v>
      </c>
      <c r="C18">
        <v>17243</v>
      </c>
      <c r="D18" t="s">
        <v>0</v>
      </c>
      <c r="E18">
        <v>36.116449000000003</v>
      </c>
      <c r="F18" t="s">
        <v>1</v>
      </c>
      <c r="G18">
        <v>10.910743</v>
      </c>
      <c r="H18" t="s">
        <v>63</v>
      </c>
      <c r="I18" t="s">
        <v>46</v>
      </c>
      <c r="J18" t="s">
        <v>2</v>
      </c>
    </row>
    <row r="19" spans="1:10" x14ac:dyDescent="0.2">
      <c r="A19" t="s">
        <v>24</v>
      </c>
      <c r="B19" t="s">
        <v>21</v>
      </c>
      <c r="C19">
        <v>23270</v>
      </c>
      <c r="D19" t="s">
        <v>0</v>
      </c>
      <c r="E19">
        <v>42.339378000000004</v>
      </c>
      <c r="F19" t="s">
        <v>1</v>
      </c>
      <c r="G19">
        <v>15.507236000000001</v>
      </c>
      <c r="H19" t="s">
        <v>64</v>
      </c>
      <c r="I19" t="s">
        <v>46</v>
      </c>
      <c r="J19" t="s">
        <v>2</v>
      </c>
    </row>
    <row r="20" spans="1:10" x14ac:dyDescent="0.2">
      <c r="A20" t="s">
        <v>24</v>
      </c>
      <c r="B20" t="s">
        <v>21</v>
      </c>
      <c r="C20">
        <v>17346</v>
      </c>
      <c r="D20" t="s">
        <v>0</v>
      </c>
      <c r="E20">
        <v>34.541007</v>
      </c>
      <c r="F20" t="s">
        <v>1</v>
      </c>
      <c r="G20">
        <v>9.5053669999999997</v>
      </c>
      <c r="H20" t="s">
        <v>65</v>
      </c>
      <c r="I20" t="s">
        <v>46</v>
      </c>
      <c r="J20" t="s">
        <v>2</v>
      </c>
    </row>
    <row r="21" spans="1:10" x14ac:dyDescent="0.2">
      <c r="A21" t="s">
        <v>24</v>
      </c>
      <c r="B21" t="s">
        <v>21</v>
      </c>
      <c r="C21">
        <v>18787</v>
      </c>
      <c r="D21" t="s">
        <v>0</v>
      </c>
      <c r="E21">
        <v>29.183098000000001</v>
      </c>
      <c r="F21" t="s">
        <v>1</v>
      </c>
      <c r="G21">
        <v>12.795515999999999</v>
      </c>
      <c r="H21" t="s">
        <v>66</v>
      </c>
      <c r="I21" t="s">
        <v>46</v>
      </c>
      <c r="J21" t="s">
        <v>2</v>
      </c>
    </row>
    <row r="22" spans="1:10" x14ac:dyDescent="0.2">
      <c r="A22" t="s">
        <v>24</v>
      </c>
      <c r="B22" t="s">
        <v>21</v>
      </c>
      <c r="C22">
        <v>17301</v>
      </c>
      <c r="D22" t="s">
        <v>0</v>
      </c>
      <c r="E22">
        <v>37.017890999999999</v>
      </c>
      <c r="F22" t="s">
        <v>1</v>
      </c>
      <c r="G22">
        <v>10.320611</v>
      </c>
      <c r="H22" t="s">
        <v>67</v>
      </c>
      <c r="I22" t="s">
        <v>46</v>
      </c>
      <c r="J22" t="s">
        <v>2</v>
      </c>
    </row>
    <row r="23" spans="1:10" x14ac:dyDescent="0.2">
      <c r="A23" t="s">
        <v>24</v>
      </c>
      <c r="B23" t="s">
        <v>21</v>
      </c>
      <c r="C23">
        <v>13943</v>
      </c>
      <c r="D23" t="s">
        <v>0</v>
      </c>
      <c r="E23">
        <v>25.516503</v>
      </c>
      <c r="F23" t="s">
        <v>1</v>
      </c>
      <c r="G23">
        <v>8.3902269999999994</v>
      </c>
      <c r="H23" t="s">
        <v>68</v>
      </c>
      <c r="I23" t="s">
        <v>46</v>
      </c>
      <c r="J23" t="s">
        <v>2</v>
      </c>
    </row>
    <row r="24" spans="1:10" x14ac:dyDescent="0.2">
      <c r="A24" t="s">
        <v>24</v>
      </c>
      <c r="B24" t="s">
        <v>21</v>
      </c>
      <c r="C24">
        <v>17591</v>
      </c>
      <c r="D24" t="s">
        <v>0</v>
      </c>
      <c r="E24">
        <v>35.697626</v>
      </c>
      <c r="F24" t="s">
        <v>1</v>
      </c>
      <c r="G24">
        <v>10.428115</v>
      </c>
      <c r="H24" t="s">
        <v>69</v>
      </c>
      <c r="I24" t="s">
        <v>46</v>
      </c>
      <c r="J24" t="s">
        <v>2</v>
      </c>
    </row>
    <row r="25" spans="1:10" x14ac:dyDescent="0.2">
      <c r="A25" t="s">
        <v>24</v>
      </c>
      <c r="B25" t="s">
        <v>21</v>
      </c>
      <c r="C25">
        <v>20141</v>
      </c>
      <c r="D25" t="s">
        <v>0</v>
      </c>
      <c r="E25">
        <v>36.758158000000002</v>
      </c>
      <c r="F25" t="s">
        <v>1</v>
      </c>
      <c r="G25">
        <v>10.192572999999999</v>
      </c>
      <c r="H25" t="s">
        <v>70</v>
      </c>
      <c r="I25" t="s">
        <v>46</v>
      </c>
      <c r="J25" t="s">
        <v>2</v>
      </c>
    </row>
    <row r="26" spans="1:10" x14ac:dyDescent="0.2">
      <c r="A26" t="s">
        <v>24</v>
      </c>
      <c r="B26" t="s">
        <v>21</v>
      </c>
      <c r="C26">
        <v>20150</v>
      </c>
      <c r="D26" t="s">
        <v>0</v>
      </c>
      <c r="E26">
        <v>36.532556</v>
      </c>
      <c r="F26" t="s">
        <v>1</v>
      </c>
      <c r="G26">
        <v>10.317137000000001</v>
      </c>
      <c r="H26" t="s">
        <v>71</v>
      </c>
      <c r="I26" t="s">
        <v>46</v>
      </c>
      <c r="J26" t="s">
        <v>2</v>
      </c>
    </row>
    <row r="27" spans="1:10" x14ac:dyDescent="0.2">
      <c r="A27" t="s">
        <v>24</v>
      </c>
      <c r="B27" t="s">
        <v>21</v>
      </c>
      <c r="C27">
        <v>17052</v>
      </c>
      <c r="D27" t="s">
        <v>0</v>
      </c>
      <c r="E27">
        <v>41.904758000000001</v>
      </c>
      <c r="F27" t="s">
        <v>1</v>
      </c>
      <c r="G27">
        <v>10.594976000000001</v>
      </c>
      <c r="H27" t="s">
        <v>72</v>
      </c>
      <c r="I27" t="s">
        <v>46</v>
      </c>
      <c r="J27" t="s">
        <v>2</v>
      </c>
    </row>
    <row r="28" spans="1:10" x14ac:dyDescent="0.2">
      <c r="A28" t="s">
        <v>24</v>
      </c>
      <c r="B28" t="s">
        <v>21</v>
      </c>
      <c r="C28">
        <v>17067</v>
      </c>
      <c r="D28" t="s">
        <v>0</v>
      </c>
      <c r="E28">
        <v>40.126716999999999</v>
      </c>
      <c r="F28" t="s">
        <v>1</v>
      </c>
      <c r="G28">
        <v>9.3258100000000006</v>
      </c>
      <c r="H28" t="s">
        <v>73</v>
      </c>
      <c r="I28" t="s">
        <v>46</v>
      </c>
      <c r="J28" t="s">
        <v>2</v>
      </c>
    </row>
    <row r="29" spans="1:10" x14ac:dyDescent="0.2">
      <c r="A29" t="s">
        <v>24</v>
      </c>
      <c r="B29" t="s">
        <v>21</v>
      </c>
      <c r="C29">
        <v>17230</v>
      </c>
      <c r="D29" t="s">
        <v>0</v>
      </c>
      <c r="E29">
        <v>36.898989999999998</v>
      </c>
      <c r="F29" t="s">
        <v>1</v>
      </c>
      <c r="G29">
        <v>11.713660000000001</v>
      </c>
      <c r="H29" t="s">
        <v>74</v>
      </c>
      <c r="I29" t="s">
        <v>46</v>
      </c>
      <c r="J29" t="s">
        <v>2</v>
      </c>
    </row>
    <row r="30" spans="1:10" x14ac:dyDescent="0.2">
      <c r="A30" t="s">
        <v>24</v>
      </c>
      <c r="B30" t="s">
        <v>21</v>
      </c>
      <c r="C30">
        <v>17849</v>
      </c>
      <c r="D30" t="s">
        <v>0</v>
      </c>
      <c r="E30">
        <v>47.299858999999998</v>
      </c>
      <c r="F30" t="s">
        <v>1</v>
      </c>
      <c r="G30">
        <v>9.8946489999999994</v>
      </c>
      <c r="H30" t="s">
        <v>75</v>
      </c>
      <c r="I30" t="s">
        <v>46</v>
      </c>
      <c r="J30" t="s">
        <v>2</v>
      </c>
    </row>
    <row r="31" spans="1:10" x14ac:dyDescent="0.2">
      <c r="A31" t="s">
        <v>24</v>
      </c>
      <c r="B31" t="s">
        <v>21</v>
      </c>
      <c r="C31">
        <v>20789</v>
      </c>
      <c r="D31" t="s">
        <v>0</v>
      </c>
      <c r="E31">
        <v>37.278885000000002</v>
      </c>
      <c r="F31" t="s">
        <v>1</v>
      </c>
      <c r="G31">
        <v>11.146834</v>
      </c>
      <c r="H31" t="s">
        <v>76</v>
      </c>
      <c r="I31" t="s">
        <v>46</v>
      </c>
      <c r="J31" t="s">
        <v>2</v>
      </c>
    </row>
    <row r="32" spans="1:10" x14ac:dyDescent="0.2">
      <c r="A32" t="s">
        <v>24</v>
      </c>
      <c r="B32" t="s">
        <v>21</v>
      </c>
      <c r="C32">
        <v>19254</v>
      </c>
      <c r="D32" t="s">
        <v>0</v>
      </c>
      <c r="E32">
        <v>37.014201999999997</v>
      </c>
      <c r="F32" t="s">
        <v>1</v>
      </c>
      <c r="G32">
        <v>9.5570970000000006</v>
      </c>
      <c r="H32" t="s">
        <v>77</v>
      </c>
      <c r="I32" t="s">
        <v>46</v>
      </c>
      <c r="J32" t="s">
        <v>2</v>
      </c>
    </row>
    <row r="33" spans="1:10" x14ac:dyDescent="0.2">
      <c r="A33" t="s">
        <v>24</v>
      </c>
      <c r="B33" t="s">
        <v>21</v>
      </c>
      <c r="C33">
        <v>16904</v>
      </c>
      <c r="D33" t="s">
        <v>0</v>
      </c>
      <c r="E33">
        <v>36.578291999999998</v>
      </c>
      <c r="F33" t="s">
        <v>1</v>
      </c>
      <c r="G33">
        <v>10.367044999999999</v>
      </c>
      <c r="H33" t="s">
        <v>78</v>
      </c>
      <c r="I33" t="s">
        <v>46</v>
      </c>
      <c r="J33" t="s">
        <v>2</v>
      </c>
    </row>
    <row r="34" spans="1:10" x14ac:dyDescent="0.2">
      <c r="A34" t="s">
        <v>24</v>
      </c>
      <c r="B34" t="s">
        <v>21</v>
      </c>
      <c r="C34">
        <v>17261</v>
      </c>
      <c r="D34" t="s">
        <v>0</v>
      </c>
      <c r="E34">
        <v>35.218305000000001</v>
      </c>
      <c r="F34" t="s">
        <v>1</v>
      </c>
      <c r="G34">
        <v>8.9966439999999999</v>
      </c>
      <c r="H34" t="s">
        <v>79</v>
      </c>
      <c r="I34" t="s">
        <v>46</v>
      </c>
      <c r="J34" t="s">
        <v>2</v>
      </c>
    </row>
    <row r="35" spans="1:10" x14ac:dyDescent="0.2">
      <c r="A35" t="s">
        <v>24</v>
      </c>
      <c r="B35" t="s">
        <v>21</v>
      </c>
      <c r="C35">
        <v>17438</v>
      </c>
      <c r="D35" t="s">
        <v>0</v>
      </c>
      <c r="E35">
        <v>36.186836999999997</v>
      </c>
      <c r="F35" t="s">
        <v>1</v>
      </c>
      <c r="G35">
        <v>10.153024</v>
      </c>
      <c r="H35" t="s">
        <v>80</v>
      </c>
      <c r="I35" t="s">
        <v>46</v>
      </c>
      <c r="J35" t="s">
        <v>2</v>
      </c>
    </row>
    <row r="36" spans="1:10" x14ac:dyDescent="0.2">
      <c r="A36" t="s">
        <v>24</v>
      </c>
      <c r="B36" t="s">
        <v>21</v>
      </c>
      <c r="C36">
        <v>17213</v>
      </c>
      <c r="D36" t="s">
        <v>0</v>
      </c>
      <c r="E36">
        <v>36.659061999999999</v>
      </c>
      <c r="F36" t="s">
        <v>1</v>
      </c>
      <c r="G36">
        <v>9.8278049999999997</v>
      </c>
      <c r="H36" t="s">
        <v>81</v>
      </c>
      <c r="I36" t="s">
        <v>46</v>
      </c>
      <c r="J36" t="s">
        <v>2</v>
      </c>
    </row>
    <row r="37" spans="1:10" x14ac:dyDescent="0.2">
      <c r="A37" t="s">
        <v>24</v>
      </c>
      <c r="B37" t="s">
        <v>21</v>
      </c>
      <c r="C37">
        <v>17983</v>
      </c>
      <c r="D37" t="s">
        <v>0</v>
      </c>
      <c r="E37">
        <v>37.877752999999998</v>
      </c>
      <c r="F37" t="s">
        <v>1</v>
      </c>
      <c r="G37">
        <v>9.7257069999999999</v>
      </c>
      <c r="H37" t="s">
        <v>82</v>
      </c>
      <c r="I37" t="s">
        <v>46</v>
      </c>
      <c r="J37" t="s">
        <v>2</v>
      </c>
    </row>
    <row r="38" spans="1:10" x14ac:dyDescent="0.2">
      <c r="A38" t="s">
        <v>24</v>
      </c>
      <c r="B38" t="s">
        <v>21</v>
      </c>
      <c r="C38">
        <v>16784</v>
      </c>
      <c r="D38" t="s">
        <v>0</v>
      </c>
      <c r="E38">
        <v>35.281219</v>
      </c>
      <c r="F38" t="s">
        <v>1</v>
      </c>
      <c r="G38">
        <v>9.8830419999999997</v>
      </c>
      <c r="H38" t="s">
        <v>83</v>
      </c>
      <c r="I38" t="s">
        <v>46</v>
      </c>
      <c r="J38" t="s">
        <v>2</v>
      </c>
    </row>
    <row r="39" spans="1:10" x14ac:dyDescent="0.2">
      <c r="A39" t="s">
        <v>24</v>
      </c>
      <c r="B39" t="s">
        <v>21</v>
      </c>
      <c r="C39">
        <v>17150</v>
      </c>
      <c r="D39" t="s">
        <v>0</v>
      </c>
      <c r="E39">
        <v>37.057122999999997</v>
      </c>
      <c r="F39" t="s">
        <v>1</v>
      </c>
      <c r="G39">
        <v>10.565127</v>
      </c>
      <c r="H39" t="s">
        <v>84</v>
      </c>
      <c r="I39" t="s">
        <v>46</v>
      </c>
      <c r="J39" t="s">
        <v>2</v>
      </c>
    </row>
    <row r="40" spans="1:10" x14ac:dyDescent="0.2">
      <c r="A40" t="s">
        <v>24</v>
      </c>
      <c r="B40" t="s">
        <v>21</v>
      </c>
      <c r="C40">
        <v>18976</v>
      </c>
      <c r="D40" t="s">
        <v>0</v>
      </c>
      <c r="E40">
        <v>39.893293</v>
      </c>
      <c r="F40" t="s">
        <v>1</v>
      </c>
      <c r="G40">
        <v>10.924943000000001</v>
      </c>
      <c r="H40" t="s">
        <v>85</v>
      </c>
      <c r="I40" t="s">
        <v>46</v>
      </c>
      <c r="J40" t="s">
        <v>2</v>
      </c>
    </row>
    <row r="41" spans="1:10" x14ac:dyDescent="0.2">
      <c r="A41" t="s">
        <v>24</v>
      </c>
      <c r="B41" t="s">
        <v>21</v>
      </c>
      <c r="C41">
        <v>17380</v>
      </c>
      <c r="D41" t="s">
        <v>0</v>
      </c>
      <c r="E41">
        <v>36.699114000000002</v>
      </c>
      <c r="F41" t="s">
        <v>1</v>
      </c>
      <c r="G41">
        <v>10.224062</v>
      </c>
      <c r="H41" t="s">
        <v>86</v>
      </c>
      <c r="I41" t="s">
        <v>46</v>
      </c>
      <c r="J41" t="s">
        <v>2</v>
      </c>
    </row>
    <row r="42" spans="1:10" x14ac:dyDescent="0.2">
      <c r="A42" t="s">
        <v>24</v>
      </c>
      <c r="B42" t="s">
        <v>21</v>
      </c>
      <c r="C42">
        <v>17453</v>
      </c>
      <c r="D42" t="s">
        <v>0</v>
      </c>
      <c r="E42">
        <v>41.05498</v>
      </c>
      <c r="F42" t="s">
        <v>1</v>
      </c>
      <c r="G42">
        <v>9.7637879999999999</v>
      </c>
      <c r="H42" t="s">
        <v>87</v>
      </c>
      <c r="I42" t="s">
        <v>46</v>
      </c>
      <c r="J42" t="s">
        <v>2</v>
      </c>
    </row>
    <row r="43" spans="1:10" x14ac:dyDescent="0.2">
      <c r="A43" t="s">
        <v>24</v>
      </c>
      <c r="B43" t="s">
        <v>21</v>
      </c>
      <c r="C43">
        <v>17074</v>
      </c>
      <c r="D43" t="s">
        <v>0</v>
      </c>
      <c r="E43">
        <v>36.501908</v>
      </c>
      <c r="F43" t="s">
        <v>1</v>
      </c>
      <c r="G43">
        <v>9.7685300000000002</v>
      </c>
      <c r="H43" t="s">
        <v>88</v>
      </c>
      <c r="I43" t="s">
        <v>46</v>
      </c>
      <c r="J43" t="s">
        <v>2</v>
      </c>
    </row>
    <row r="44" spans="1:10" x14ac:dyDescent="0.2">
      <c r="A44" t="s">
        <v>24</v>
      </c>
      <c r="B44" t="s">
        <v>21</v>
      </c>
      <c r="C44">
        <v>16880</v>
      </c>
      <c r="D44" t="s">
        <v>0</v>
      </c>
      <c r="E44">
        <v>38.340485000000001</v>
      </c>
      <c r="F44" t="s">
        <v>1</v>
      </c>
      <c r="G44">
        <v>9.4484580000000005</v>
      </c>
      <c r="H44" t="s">
        <v>89</v>
      </c>
      <c r="I44" t="s">
        <v>46</v>
      </c>
      <c r="J44" t="s">
        <v>2</v>
      </c>
    </row>
    <row r="45" spans="1:10" x14ac:dyDescent="0.2">
      <c r="A45" t="s">
        <v>24</v>
      </c>
      <c r="B45" t="s">
        <v>21</v>
      </c>
      <c r="C45">
        <v>20179</v>
      </c>
      <c r="D45" t="s">
        <v>0</v>
      </c>
      <c r="E45">
        <v>43.378748000000002</v>
      </c>
      <c r="F45" t="s">
        <v>1</v>
      </c>
      <c r="G45">
        <v>12.290442000000001</v>
      </c>
      <c r="H45" t="s">
        <v>90</v>
      </c>
      <c r="I45" t="s">
        <v>46</v>
      </c>
      <c r="J45" t="s">
        <v>2</v>
      </c>
    </row>
    <row r="46" spans="1:10" x14ac:dyDescent="0.2">
      <c r="A46" t="s">
        <v>24</v>
      </c>
      <c r="B46" t="s">
        <v>21</v>
      </c>
      <c r="C46">
        <v>18206</v>
      </c>
      <c r="D46" t="s">
        <v>0</v>
      </c>
      <c r="E46">
        <v>38.023560000000003</v>
      </c>
      <c r="F46" t="s">
        <v>1</v>
      </c>
      <c r="G46">
        <v>10.826741</v>
      </c>
      <c r="H46" t="s">
        <v>91</v>
      </c>
      <c r="I46" t="s">
        <v>46</v>
      </c>
      <c r="J46" t="s">
        <v>2</v>
      </c>
    </row>
    <row r="47" spans="1:10" x14ac:dyDescent="0.2">
      <c r="A47" t="s">
        <v>24</v>
      </c>
      <c r="B47" t="s">
        <v>21</v>
      </c>
      <c r="C47">
        <v>18270</v>
      </c>
      <c r="D47" t="s">
        <v>0</v>
      </c>
      <c r="E47">
        <v>44.371549999999999</v>
      </c>
      <c r="F47" t="s">
        <v>1</v>
      </c>
      <c r="G47">
        <v>10.467385999999999</v>
      </c>
      <c r="H47" t="s">
        <v>92</v>
      </c>
      <c r="I47" t="s">
        <v>46</v>
      </c>
      <c r="J47" t="s">
        <v>2</v>
      </c>
    </row>
    <row r="48" spans="1:10" x14ac:dyDescent="0.2">
      <c r="A48" t="s">
        <v>24</v>
      </c>
      <c r="B48" t="s">
        <v>21</v>
      </c>
      <c r="C48">
        <v>16904</v>
      </c>
      <c r="D48" t="s">
        <v>0</v>
      </c>
      <c r="E48">
        <v>36.380198999999998</v>
      </c>
      <c r="F48" t="s">
        <v>1</v>
      </c>
      <c r="G48">
        <v>11.224099000000001</v>
      </c>
      <c r="H48" t="s">
        <v>93</v>
      </c>
      <c r="I48" t="s">
        <v>46</v>
      </c>
      <c r="J48" t="s">
        <v>2</v>
      </c>
    </row>
    <row r="49" spans="1:10" x14ac:dyDescent="0.2">
      <c r="A49" t="s">
        <v>24</v>
      </c>
      <c r="B49" t="s">
        <v>21</v>
      </c>
      <c r="C49">
        <v>16763</v>
      </c>
      <c r="D49" t="s">
        <v>0</v>
      </c>
      <c r="E49">
        <v>45.780343999999999</v>
      </c>
      <c r="F49" t="s">
        <v>1</v>
      </c>
      <c r="G49">
        <v>10.465055</v>
      </c>
      <c r="H49" t="s">
        <v>94</v>
      </c>
      <c r="I49" t="s">
        <v>46</v>
      </c>
      <c r="J49" t="s">
        <v>2</v>
      </c>
    </row>
    <row r="50" spans="1:10" x14ac:dyDescent="0.2">
      <c r="A50" t="s">
        <v>24</v>
      </c>
      <c r="B50" t="s">
        <v>21</v>
      </c>
      <c r="C50">
        <v>17124</v>
      </c>
      <c r="D50" t="s">
        <v>0</v>
      </c>
      <c r="E50">
        <v>36.390098000000002</v>
      </c>
      <c r="F50" t="s">
        <v>1</v>
      </c>
      <c r="G50">
        <v>9.8990299999999998</v>
      </c>
      <c r="H50" t="s">
        <v>95</v>
      </c>
      <c r="I50" t="s">
        <v>46</v>
      </c>
      <c r="J50" t="s">
        <v>2</v>
      </c>
    </row>
    <row r="51" spans="1:10" x14ac:dyDescent="0.2">
      <c r="A51" t="s">
        <v>24</v>
      </c>
      <c r="B51" t="s">
        <v>21</v>
      </c>
      <c r="C51">
        <v>17031</v>
      </c>
      <c r="D51" t="s">
        <v>0</v>
      </c>
      <c r="E51">
        <v>35.782806000000001</v>
      </c>
      <c r="F51" t="s">
        <v>1</v>
      </c>
      <c r="G51">
        <v>9.2438979999999997</v>
      </c>
      <c r="H51" t="s">
        <v>96</v>
      </c>
      <c r="I51" t="s">
        <v>46</v>
      </c>
      <c r="J51" t="s">
        <v>2</v>
      </c>
    </row>
    <row r="52" spans="1:10" x14ac:dyDescent="0.2">
      <c r="A52" t="s">
        <v>24</v>
      </c>
      <c r="B52" t="s">
        <v>21</v>
      </c>
      <c r="C52">
        <v>17930</v>
      </c>
      <c r="D52" t="s">
        <v>0</v>
      </c>
      <c r="E52">
        <v>37.868585000000003</v>
      </c>
      <c r="F52" t="s">
        <v>1</v>
      </c>
      <c r="G52">
        <v>10.133994</v>
      </c>
      <c r="H52" t="s">
        <v>97</v>
      </c>
      <c r="I52" t="s">
        <v>46</v>
      </c>
      <c r="J52" t="s">
        <v>2</v>
      </c>
    </row>
    <row r="53" spans="1:10" x14ac:dyDescent="0.2">
      <c r="A53" t="s">
        <v>24</v>
      </c>
      <c r="B53" t="s">
        <v>21</v>
      </c>
      <c r="C53">
        <v>17603</v>
      </c>
      <c r="D53" t="s">
        <v>0</v>
      </c>
      <c r="E53">
        <v>37.269713000000003</v>
      </c>
      <c r="F53" t="s">
        <v>1</v>
      </c>
      <c r="G53">
        <v>10.801655999999999</v>
      </c>
      <c r="H53" t="s">
        <v>98</v>
      </c>
      <c r="I53" t="s">
        <v>46</v>
      </c>
      <c r="J53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2022-12-06T17:40:12Z</dcterms:modified>
</cp:coreProperties>
</file>