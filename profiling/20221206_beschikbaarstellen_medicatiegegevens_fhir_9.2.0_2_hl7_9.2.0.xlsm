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8_{90299672-93D1-E946-9A4E-CF0358F13800}" xr6:coauthVersionLast="47" xr6:coauthVersionMax="47" xr10:uidLastSave="{00000000-0000-0000-0000-000000000000}"/>
  <bookViews>
    <workbookView xWindow="34720" yWindow="1028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" l="1"/>
  <c r="B6" i="5"/>
  <c r="C6" i="5"/>
  <c r="D6" i="5"/>
  <c r="G6" i="5"/>
  <c r="H6" i="5"/>
  <c r="K6" i="5"/>
  <c r="L6" i="5"/>
  <c r="M6" i="5" s="1"/>
  <c r="O6" i="5"/>
  <c r="P6" i="5"/>
  <c r="Q6" i="5" s="1"/>
  <c r="A7" i="5"/>
  <c r="B7" i="5"/>
  <c r="C7" i="5"/>
  <c r="D7" i="5"/>
  <c r="G7" i="5"/>
  <c r="H7" i="5"/>
  <c r="I7" i="5" s="1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Q8" i="5" s="1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E10" i="5" s="1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I14" i="5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M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A22" i="5"/>
  <c r="B22" i="5"/>
  <c r="C22" i="5"/>
  <c r="D22" i="5"/>
  <c r="E22" i="5" s="1"/>
  <c r="G22" i="5"/>
  <c r="H22" i="5"/>
  <c r="K22" i="5"/>
  <c r="L22" i="5"/>
  <c r="M22" i="5"/>
  <c r="O22" i="5"/>
  <c r="P22" i="5"/>
  <c r="A23" i="5"/>
  <c r="B23" i="5"/>
  <c r="C23" i="5"/>
  <c r="D23" i="5"/>
  <c r="G23" i="5"/>
  <c r="H23" i="5"/>
  <c r="K23" i="5"/>
  <c r="L23" i="5"/>
  <c r="O23" i="5"/>
  <c r="P23" i="5"/>
  <c r="A24" i="5"/>
  <c r="B24" i="5"/>
  <c r="C24" i="5"/>
  <c r="D24" i="5"/>
  <c r="G24" i="5"/>
  <c r="H24" i="5"/>
  <c r="K24" i="5"/>
  <c r="L24" i="5"/>
  <c r="O24" i="5"/>
  <c r="P24" i="5"/>
  <c r="A25" i="5"/>
  <c r="B25" i="5"/>
  <c r="C25" i="5"/>
  <c r="D25" i="5"/>
  <c r="G25" i="5"/>
  <c r="H25" i="5"/>
  <c r="I25" i="5" s="1"/>
  <c r="K25" i="5"/>
  <c r="L25" i="5"/>
  <c r="O25" i="5"/>
  <c r="P25" i="5"/>
  <c r="A26" i="5"/>
  <c r="B26" i="5"/>
  <c r="C26" i="5"/>
  <c r="D26" i="5"/>
  <c r="G26" i="5"/>
  <c r="H26" i="5"/>
  <c r="I26" i="5" s="1"/>
  <c r="K26" i="5"/>
  <c r="L26" i="5"/>
  <c r="O26" i="5"/>
  <c r="P26" i="5"/>
  <c r="A27" i="5"/>
  <c r="B27" i="5"/>
  <c r="C27" i="5"/>
  <c r="D27" i="5"/>
  <c r="G27" i="5"/>
  <c r="H27" i="5"/>
  <c r="K27" i="5"/>
  <c r="L27" i="5"/>
  <c r="O27" i="5"/>
  <c r="P27" i="5"/>
  <c r="A28" i="5"/>
  <c r="B28" i="5"/>
  <c r="C28" i="5"/>
  <c r="D28" i="5"/>
  <c r="G28" i="5"/>
  <c r="H28" i="5"/>
  <c r="K28" i="5"/>
  <c r="L28" i="5"/>
  <c r="O28" i="5"/>
  <c r="P28" i="5"/>
  <c r="A29" i="5"/>
  <c r="B29" i="5"/>
  <c r="C29" i="5"/>
  <c r="D29" i="5"/>
  <c r="G29" i="5"/>
  <c r="H29" i="5"/>
  <c r="K29" i="5"/>
  <c r="L29" i="5"/>
  <c r="O29" i="5"/>
  <c r="P29" i="5"/>
  <c r="A30" i="5"/>
  <c r="B30" i="5"/>
  <c r="C30" i="5"/>
  <c r="D30" i="5"/>
  <c r="G30" i="5"/>
  <c r="H30" i="5"/>
  <c r="K30" i="5"/>
  <c r="L30" i="5"/>
  <c r="O30" i="5"/>
  <c r="P30" i="5"/>
  <c r="A31" i="5"/>
  <c r="B31" i="5"/>
  <c r="C31" i="5"/>
  <c r="D31" i="5"/>
  <c r="G31" i="5"/>
  <c r="H31" i="5"/>
  <c r="K31" i="5"/>
  <c r="L31" i="5"/>
  <c r="O31" i="5"/>
  <c r="P31" i="5"/>
  <c r="A32" i="5"/>
  <c r="B32" i="5"/>
  <c r="C32" i="5"/>
  <c r="D32" i="5"/>
  <c r="G32" i="5"/>
  <c r="H32" i="5"/>
  <c r="K32" i="5"/>
  <c r="L32" i="5"/>
  <c r="O32" i="5"/>
  <c r="P32" i="5"/>
  <c r="A33" i="5"/>
  <c r="B33" i="5"/>
  <c r="C33" i="5"/>
  <c r="D33" i="5"/>
  <c r="E33" i="5"/>
  <c r="G33" i="5"/>
  <c r="H33" i="5"/>
  <c r="K33" i="5"/>
  <c r="L33" i="5"/>
  <c r="O33" i="5"/>
  <c r="P33" i="5"/>
  <c r="A34" i="5"/>
  <c r="B34" i="5"/>
  <c r="C34" i="5"/>
  <c r="D34" i="5"/>
  <c r="G34" i="5"/>
  <c r="H34" i="5"/>
  <c r="K34" i="5"/>
  <c r="L34" i="5"/>
  <c r="O34" i="5"/>
  <c r="P34" i="5"/>
  <c r="A35" i="5"/>
  <c r="B35" i="5"/>
  <c r="C35" i="5"/>
  <c r="D35" i="5"/>
  <c r="G35" i="5"/>
  <c r="H35" i="5"/>
  <c r="K35" i="5"/>
  <c r="L35" i="5"/>
  <c r="O35" i="5"/>
  <c r="P35" i="5"/>
  <c r="A36" i="5"/>
  <c r="B36" i="5"/>
  <c r="C36" i="5"/>
  <c r="D36" i="5"/>
  <c r="G36" i="5"/>
  <c r="H36" i="5"/>
  <c r="K36" i="5"/>
  <c r="L36" i="5"/>
  <c r="O36" i="5"/>
  <c r="P36" i="5"/>
  <c r="A37" i="5"/>
  <c r="B37" i="5"/>
  <c r="C37" i="5"/>
  <c r="D37" i="5"/>
  <c r="G37" i="5"/>
  <c r="H37" i="5"/>
  <c r="K37" i="5"/>
  <c r="L37" i="5"/>
  <c r="O37" i="5"/>
  <c r="P37" i="5"/>
  <c r="A38" i="5"/>
  <c r="B38" i="5"/>
  <c r="C38" i="5"/>
  <c r="D38" i="5"/>
  <c r="G38" i="5"/>
  <c r="H38" i="5"/>
  <c r="K38" i="5"/>
  <c r="L38" i="5"/>
  <c r="O38" i="5"/>
  <c r="P38" i="5"/>
  <c r="A39" i="5"/>
  <c r="B39" i="5"/>
  <c r="C39" i="5"/>
  <c r="D39" i="5"/>
  <c r="G39" i="5"/>
  <c r="H39" i="5"/>
  <c r="K39" i="5"/>
  <c r="L39" i="5"/>
  <c r="O39" i="5"/>
  <c r="P39" i="5"/>
  <c r="A40" i="5"/>
  <c r="B40" i="5"/>
  <c r="C40" i="5"/>
  <c r="D40" i="5"/>
  <c r="G40" i="5"/>
  <c r="H40" i="5"/>
  <c r="K40" i="5"/>
  <c r="L40" i="5"/>
  <c r="O40" i="5"/>
  <c r="P40" i="5"/>
  <c r="A41" i="5"/>
  <c r="B41" i="5"/>
  <c r="C41" i="5"/>
  <c r="D41" i="5"/>
  <c r="G41" i="5"/>
  <c r="H41" i="5"/>
  <c r="K41" i="5"/>
  <c r="L41" i="5"/>
  <c r="O41" i="5"/>
  <c r="P41" i="5"/>
  <c r="A42" i="5"/>
  <c r="B42" i="5"/>
  <c r="C42" i="5"/>
  <c r="D42" i="5"/>
  <c r="E42" i="5" s="1"/>
  <c r="G42" i="5"/>
  <c r="H42" i="5"/>
  <c r="K42" i="5"/>
  <c r="L42" i="5"/>
  <c r="O42" i="5"/>
  <c r="P42" i="5"/>
  <c r="A43" i="5"/>
  <c r="B43" i="5"/>
  <c r="C43" i="5"/>
  <c r="D43" i="5"/>
  <c r="G43" i="5"/>
  <c r="H43" i="5"/>
  <c r="K43" i="5"/>
  <c r="L43" i="5"/>
  <c r="O43" i="5"/>
  <c r="P43" i="5"/>
  <c r="A44" i="5"/>
  <c r="B44" i="5"/>
  <c r="C44" i="5"/>
  <c r="D44" i="5"/>
  <c r="G44" i="5"/>
  <c r="H44" i="5"/>
  <c r="K44" i="5"/>
  <c r="L44" i="5"/>
  <c r="O44" i="5"/>
  <c r="P44" i="5"/>
  <c r="A45" i="5"/>
  <c r="B45" i="5"/>
  <c r="C45" i="5"/>
  <c r="E45" i="5" s="1"/>
  <c r="D45" i="5"/>
  <c r="G45" i="5"/>
  <c r="H45" i="5"/>
  <c r="K45" i="5"/>
  <c r="L45" i="5"/>
  <c r="O45" i="5"/>
  <c r="P45" i="5"/>
  <c r="A46" i="5"/>
  <c r="B46" i="5"/>
  <c r="C46" i="5"/>
  <c r="D46" i="5"/>
  <c r="G46" i="5"/>
  <c r="H46" i="5"/>
  <c r="K46" i="5"/>
  <c r="L46" i="5"/>
  <c r="O46" i="5"/>
  <c r="P46" i="5"/>
  <c r="A47" i="5"/>
  <c r="B47" i="5"/>
  <c r="C47" i="5"/>
  <c r="D47" i="5"/>
  <c r="G47" i="5"/>
  <c r="H47" i="5"/>
  <c r="K47" i="5"/>
  <c r="L47" i="5"/>
  <c r="O47" i="5"/>
  <c r="P47" i="5"/>
  <c r="A48" i="5"/>
  <c r="B48" i="5"/>
  <c r="C48" i="5"/>
  <c r="D48" i="5"/>
  <c r="G48" i="5"/>
  <c r="H48" i="5"/>
  <c r="K48" i="5"/>
  <c r="L48" i="5"/>
  <c r="M48" i="5" s="1"/>
  <c r="O48" i="5"/>
  <c r="P48" i="5"/>
  <c r="A49" i="5"/>
  <c r="B49" i="5"/>
  <c r="C49" i="5"/>
  <c r="D49" i="5"/>
  <c r="G49" i="5"/>
  <c r="H49" i="5"/>
  <c r="K49" i="5"/>
  <c r="L49" i="5"/>
  <c r="O49" i="5"/>
  <c r="P49" i="5"/>
  <c r="A50" i="5"/>
  <c r="B50" i="5"/>
  <c r="C50" i="5"/>
  <c r="D50" i="5"/>
  <c r="G50" i="5"/>
  <c r="H50" i="5"/>
  <c r="K50" i="5"/>
  <c r="L50" i="5"/>
  <c r="O50" i="5"/>
  <c r="P50" i="5"/>
  <c r="Q50" i="5" s="1"/>
  <c r="A51" i="5"/>
  <c r="B51" i="5"/>
  <c r="C51" i="5"/>
  <c r="D51" i="5"/>
  <c r="G51" i="5"/>
  <c r="H51" i="5"/>
  <c r="K51" i="5"/>
  <c r="L51" i="5"/>
  <c r="O51" i="5"/>
  <c r="P51" i="5"/>
  <c r="A52" i="5"/>
  <c r="B52" i="5"/>
  <c r="C52" i="5"/>
  <c r="D52" i="5"/>
  <c r="G52" i="5"/>
  <c r="H52" i="5"/>
  <c r="K52" i="5"/>
  <c r="L52" i="5"/>
  <c r="M52" i="5" s="1"/>
  <c r="O52" i="5"/>
  <c r="P52" i="5"/>
  <c r="A53" i="5"/>
  <c r="B53" i="5"/>
  <c r="C53" i="5"/>
  <c r="D53" i="5"/>
  <c r="G53" i="5"/>
  <c r="H53" i="5"/>
  <c r="K53" i="5"/>
  <c r="L53" i="5"/>
  <c r="M53" i="5" s="1"/>
  <c r="O53" i="5"/>
  <c r="P53" i="5"/>
  <c r="P5" i="5"/>
  <c r="O5" i="5"/>
  <c r="L5" i="5"/>
  <c r="K5" i="5"/>
  <c r="H5" i="5"/>
  <c r="G5" i="5"/>
  <c r="D5" i="5"/>
  <c r="C5" i="5"/>
  <c r="B5" i="5"/>
  <c r="A5" i="5"/>
  <c r="B2" i="5"/>
  <c r="B1" i="5"/>
  <c r="Q21" i="5" l="1"/>
  <c r="M24" i="5"/>
  <c r="I9" i="5"/>
  <c r="I42" i="5"/>
  <c r="E31" i="5"/>
  <c r="E12" i="5"/>
  <c r="E29" i="5"/>
  <c r="M16" i="5"/>
  <c r="I19" i="5"/>
  <c r="E41" i="5"/>
  <c r="M42" i="5"/>
  <c r="M23" i="5"/>
  <c r="M7" i="5"/>
  <c r="M43" i="5"/>
  <c r="Q38" i="5"/>
  <c r="M36" i="5"/>
  <c r="I46" i="5"/>
  <c r="Q39" i="5"/>
  <c r="I38" i="5"/>
  <c r="E13" i="5"/>
  <c r="Q22" i="5"/>
  <c r="Q20" i="5"/>
  <c r="Q33" i="5"/>
  <c r="M39" i="5"/>
  <c r="Q53" i="5"/>
  <c r="Q18" i="5"/>
  <c r="Q7" i="5"/>
  <c r="I27" i="5"/>
  <c r="I18" i="5"/>
  <c r="E15" i="5"/>
  <c r="Q51" i="5"/>
  <c r="Q14" i="5"/>
  <c r="E7" i="5"/>
  <c r="M51" i="5"/>
  <c r="I30" i="5"/>
  <c r="M40" i="5"/>
  <c r="E39" i="5"/>
  <c r="I28" i="5"/>
  <c r="Q17" i="5"/>
  <c r="Q40" i="5"/>
  <c r="M20" i="5"/>
  <c r="Q12" i="5"/>
  <c r="I13" i="5"/>
  <c r="E53" i="5"/>
  <c r="Q49" i="5"/>
  <c r="Q44" i="5"/>
  <c r="Q35" i="5"/>
  <c r="E46" i="5"/>
  <c r="E37" i="5"/>
  <c r="Q24" i="5"/>
  <c r="I23" i="5"/>
  <c r="E14" i="5"/>
  <c r="Q52" i="5"/>
  <c r="I43" i="5"/>
  <c r="M47" i="5"/>
  <c r="E17" i="5"/>
  <c r="M15" i="5"/>
  <c r="I10" i="5"/>
  <c r="I41" i="5"/>
  <c r="I35" i="5"/>
  <c r="E26" i="5"/>
  <c r="Q45" i="5"/>
  <c r="E6" i="5"/>
  <c r="I34" i="5"/>
  <c r="E49" i="5"/>
  <c r="I50" i="5"/>
  <c r="E47" i="5"/>
  <c r="E38" i="5"/>
  <c r="M10" i="5"/>
  <c r="E20" i="5"/>
  <c r="I11" i="5"/>
  <c r="M38" i="5"/>
  <c r="Q29" i="5"/>
  <c r="E21" i="5"/>
  <c r="Q19" i="5"/>
  <c r="Q13" i="5"/>
  <c r="I12" i="5"/>
  <c r="M26" i="5"/>
  <c r="I29" i="5"/>
  <c r="I22" i="5"/>
  <c r="Q30" i="5"/>
  <c r="E9" i="5"/>
  <c r="Q23" i="5"/>
  <c r="E32" i="5"/>
  <c r="Q37" i="5"/>
  <c r="I36" i="5"/>
  <c r="Q41" i="5"/>
  <c r="Q48" i="5"/>
  <c r="M41" i="5"/>
  <c r="Q16" i="5"/>
  <c r="E30" i="5"/>
  <c r="E23" i="5"/>
  <c r="I45" i="5"/>
  <c r="Q28" i="5"/>
  <c r="E16" i="5"/>
  <c r="I15" i="5"/>
  <c r="Q46" i="5"/>
  <c r="Q32" i="5"/>
  <c r="I24" i="5"/>
  <c r="I20" i="5"/>
  <c r="M17" i="5"/>
  <c r="E11" i="5"/>
  <c r="I49" i="5"/>
  <c r="M35" i="5"/>
  <c r="M32" i="5"/>
  <c r="M25" i="5"/>
  <c r="M21" i="5"/>
  <c r="Q9" i="5"/>
  <c r="E44" i="5"/>
  <c r="M31" i="5"/>
  <c r="I31" i="5"/>
  <c r="Q26" i="5"/>
  <c r="I21" i="5"/>
  <c r="M11" i="5"/>
  <c r="M27" i="5"/>
  <c r="M9" i="5"/>
  <c r="E48" i="5"/>
  <c r="Q36" i="5"/>
  <c r="I39" i="5"/>
  <c r="E28" i="5"/>
  <c r="I52" i="5"/>
  <c r="E25" i="5"/>
  <c r="I44" i="5"/>
  <c r="M45" i="5"/>
  <c r="M49" i="5"/>
  <c r="M8" i="5"/>
  <c r="M46" i="5"/>
  <c r="Q10" i="5"/>
  <c r="E27" i="5"/>
  <c r="M37" i="5"/>
  <c r="M33" i="5"/>
  <c r="M29" i="5"/>
  <c r="Q25" i="5"/>
  <c r="Q11" i="5"/>
  <c r="M50" i="5"/>
  <c r="I32" i="5"/>
  <c r="E18" i="5"/>
  <c r="I8" i="5"/>
  <c r="M14" i="5"/>
  <c r="I51" i="5"/>
  <c r="I47" i="5"/>
  <c r="I37" i="5"/>
  <c r="E36" i="5"/>
  <c r="Q34" i="5"/>
  <c r="I33" i="5"/>
  <c r="Q15" i="5"/>
  <c r="M30" i="5"/>
  <c r="I6" i="5"/>
  <c r="E51" i="5"/>
  <c r="M44" i="5"/>
  <c r="Q31" i="5"/>
  <c r="E24" i="5"/>
  <c r="I40" i="5"/>
  <c r="E8" i="5"/>
  <c r="Q43" i="5"/>
  <c r="I48" i="5"/>
  <c r="E19" i="5"/>
  <c r="M12" i="5"/>
  <c r="E40" i="5"/>
  <c r="M34" i="5"/>
  <c r="E43" i="5"/>
  <c r="Q27" i="5"/>
  <c r="I16" i="5"/>
  <c r="M18" i="5"/>
  <c r="Q47" i="5"/>
  <c r="M28" i="5"/>
  <c r="E35" i="5"/>
  <c r="Q42" i="5"/>
  <c r="I17" i="5"/>
  <c r="E50" i="5"/>
  <c r="I53" i="5"/>
  <c r="E52" i="5"/>
  <c r="E34" i="5"/>
  <c r="M13" i="5"/>
  <c r="M5" i="5"/>
  <c r="E5" i="5"/>
  <c r="I5" i="5"/>
  <c r="I59" i="5" s="1"/>
  <c r="Q5" i="5"/>
  <c r="Q59" i="5" l="1"/>
  <c r="M59" i="5"/>
  <c r="U22" i="5"/>
  <c r="E59" i="5"/>
  <c r="T22" i="5"/>
  <c r="U25" i="5"/>
  <c r="U52" i="5"/>
  <c r="T14" i="5"/>
  <c r="V38" i="5"/>
  <c r="T42" i="5"/>
  <c r="U7" i="5"/>
  <c r="V22" i="5"/>
  <c r="U26" i="5"/>
  <c r="U53" i="5"/>
  <c r="V52" i="5"/>
  <c r="T24" i="5"/>
  <c r="F24" i="5" s="1"/>
  <c r="T31" i="5"/>
  <c r="T38" i="5"/>
  <c r="T7" i="5"/>
  <c r="V41" i="5"/>
  <c r="V20" i="5"/>
  <c r="V7" i="5"/>
  <c r="T29" i="5"/>
  <c r="V18" i="5"/>
  <c r="T10" i="5"/>
  <c r="T52" i="5"/>
  <c r="V25" i="5"/>
  <c r="U20" i="5"/>
  <c r="V49" i="5"/>
  <c r="T20" i="5"/>
  <c r="U42" i="5"/>
  <c r="F42" i="5" s="1"/>
  <c r="T46" i="5"/>
  <c r="T26" i="5"/>
  <c r="V14" i="5"/>
  <c r="T9" i="5"/>
  <c r="V26" i="5"/>
  <c r="V30" i="5"/>
  <c r="U49" i="5"/>
  <c r="T45" i="5"/>
  <c r="U39" i="5"/>
  <c r="T41" i="5"/>
  <c r="U9" i="5"/>
  <c r="V9" i="5"/>
  <c r="U28" i="5"/>
  <c r="U38" i="5"/>
  <c r="V36" i="5"/>
  <c r="U37" i="5"/>
  <c r="V21" i="5"/>
  <c r="V6" i="5"/>
  <c r="U30" i="5"/>
  <c r="T40" i="5"/>
  <c r="U23" i="5"/>
  <c r="U41" i="5"/>
  <c r="V13" i="5"/>
  <c r="V27" i="5"/>
  <c r="U12" i="5"/>
  <c r="V47" i="5"/>
  <c r="V32" i="5"/>
  <c r="T50" i="5"/>
  <c r="T18" i="5"/>
  <c r="U8" i="5"/>
  <c r="T23" i="5"/>
  <c r="U44" i="5"/>
  <c r="T33" i="5"/>
  <c r="U19" i="5"/>
  <c r="V45" i="5"/>
  <c r="V23" i="5"/>
  <c r="U31" i="5"/>
  <c r="V16" i="5"/>
  <c r="T12" i="5"/>
  <c r="V48" i="5"/>
  <c r="U34" i="5"/>
  <c r="V53" i="5"/>
  <c r="V43" i="5"/>
  <c r="U45" i="5"/>
  <c r="T17" i="5"/>
  <c r="V24" i="5"/>
  <c r="V46" i="5"/>
  <c r="U24" i="5"/>
  <c r="V35" i="5"/>
  <c r="U32" i="5"/>
  <c r="T53" i="5"/>
  <c r="T39" i="5"/>
  <c r="T48" i="5"/>
  <c r="T8" i="5"/>
  <c r="T21" i="5"/>
  <c r="U48" i="5"/>
  <c r="V8" i="5"/>
  <c r="V10" i="5"/>
  <c r="U27" i="5"/>
  <c r="U46" i="5"/>
  <c r="V50" i="5"/>
  <c r="T32" i="5"/>
  <c r="U21" i="5"/>
  <c r="T47" i="5"/>
  <c r="U10" i="5"/>
  <c r="V51" i="5"/>
  <c r="V42" i="5"/>
  <c r="T16" i="5"/>
  <c r="T49" i="5"/>
  <c r="T28" i="5"/>
  <c r="V28" i="5"/>
  <c r="V17" i="5"/>
  <c r="V39" i="5"/>
  <c r="V33" i="5"/>
  <c r="V31" i="5"/>
  <c r="U18" i="5"/>
  <c r="T11" i="5"/>
  <c r="T27" i="5"/>
  <c r="U35" i="5"/>
  <c r="V12" i="5"/>
  <c r="V34" i="5"/>
  <c r="T35" i="5"/>
  <c r="T43" i="5"/>
  <c r="T15" i="5"/>
  <c r="U13" i="5"/>
  <c r="T34" i="5"/>
  <c r="U17" i="5"/>
  <c r="T44" i="5"/>
  <c r="V15" i="5"/>
  <c r="U51" i="5"/>
  <c r="U43" i="5"/>
  <c r="T6" i="5"/>
  <c r="T25" i="5"/>
  <c r="U16" i="5"/>
  <c r="U47" i="5"/>
  <c r="U33" i="5"/>
  <c r="V37" i="5"/>
  <c r="U29" i="5"/>
  <c r="V44" i="5"/>
  <c r="T51" i="5"/>
  <c r="U6" i="5"/>
  <c r="T30" i="5"/>
  <c r="V29" i="5"/>
  <c r="V40" i="5"/>
  <c r="T19" i="5"/>
  <c r="U40" i="5"/>
  <c r="T13" i="5"/>
  <c r="V19" i="5"/>
  <c r="T37" i="5"/>
  <c r="U15" i="5"/>
  <c r="U14" i="5"/>
  <c r="V11" i="5"/>
  <c r="U36" i="5"/>
  <c r="U11" i="5"/>
  <c r="T36" i="5"/>
  <c r="U50" i="5"/>
  <c r="V5" i="5"/>
  <c r="T5" i="5"/>
  <c r="U5" i="5"/>
  <c r="F9" i="5" l="1"/>
  <c r="R9" i="5"/>
  <c r="N9" i="5"/>
  <c r="J9" i="5"/>
  <c r="F27" i="5"/>
  <c r="R27" i="5"/>
  <c r="N27" i="5"/>
  <c r="J27" i="5"/>
  <c r="J43" i="5"/>
  <c r="R43" i="5"/>
  <c r="N43" i="5"/>
  <c r="R53" i="5"/>
  <c r="N53" i="5"/>
  <c r="J53" i="5"/>
  <c r="F25" i="5"/>
  <c r="R25" i="5"/>
  <c r="N25" i="5"/>
  <c r="J25" i="5"/>
  <c r="F7" i="5"/>
  <c r="N7" i="5"/>
  <c r="J7" i="5"/>
  <c r="R7" i="5"/>
  <c r="R42" i="5"/>
  <c r="N42" i="5"/>
  <c r="J42" i="5"/>
  <c r="F33" i="5"/>
  <c r="R33" i="5"/>
  <c r="N33" i="5"/>
  <c r="J33" i="5"/>
  <c r="F38" i="5"/>
  <c r="J38" i="5"/>
  <c r="R38" i="5"/>
  <c r="N38" i="5"/>
  <c r="R40" i="5"/>
  <c r="N40" i="5"/>
  <c r="J40" i="5"/>
  <c r="F26" i="5"/>
  <c r="R26" i="5"/>
  <c r="N26" i="5"/>
  <c r="J26" i="5"/>
  <c r="F47" i="5"/>
  <c r="R47" i="5"/>
  <c r="N47" i="5"/>
  <c r="J47" i="5"/>
  <c r="R18" i="5"/>
  <c r="N18" i="5"/>
  <c r="J18" i="5"/>
  <c r="R41" i="5"/>
  <c r="N41" i="5"/>
  <c r="J41" i="5"/>
  <c r="F32" i="5"/>
  <c r="R32" i="5"/>
  <c r="N32" i="5"/>
  <c r="J32" i="5"/>
  <c r="R37" i="5"/>
  <c r="N37" i="5"/>
  <c r="J37" i="5"/>
  <c r="F17" i="5"/>
  <c r="R17" i="5"/>
  <c r="N17" i="5"/>
  <c r="J17" i="5"/>
  <c r="F52" i="5"/>
  <c r="R52" i="5"/>
  <c r="N52" i="5"/>
  <c r="J52" i="5"/>
  <c r="N45" i="5"/>
  <c r="R45" i="5"/>
  <c r="J45" i="5"/>
  <c r="F12" i="5"/>
  <c r="J12" i="5"/>
  <c r="R12" i="5"/>
  <c r="N12" i="5"/>
  <c r="J35" i="5"/>
  <c r="R35" i="5"/>
  <c r="N35" i="5"/>
  <c r="F31" i="5"/>
  <c r="R31" i="5"/>
  <c r="N31" i="5"/>
  <c r="J31" i="5"/>
  <c r="R46" i="5"/>
  <c r="N46" i="5"/>
  <c r="J46" i="5"/>
  <c r="F20" i="5"/>
  <c r="N20" i="5"/>
  <c r="R20" i="5"/>
  <c r="J20" i="5"/>
  <c r="N13" i="5"/>
  <c r="R13" i="5"/>
  <c r="J13" i="5"/>
  <c r="R50" i="5"/>
  <c r="N50" i="5"/>
  <c r="J50" i="5"/>
  <c r="F10" i="5"/>
  <c r="R10" i="5"/>
  <c r="N10" i="5"/>
  <c r="J10" i="5"/>
  <c r="F44" i="5"/>
  <c r="R44" i="5"/>
  <c r="N44" i="5"/>
  <c r="J44" i="5"/>
  <c r="F14" i="5"/>
  <c r="R14" i="5"/>
  <c r="N14" i="5"/>
  <c r="J14" i="5"/>
  <c r="F21" i="5"/>
  <c r="R21" i="5"/>
  <c r="N21" i="5"/>
  <c r="J21" i="5"/>
  <c r="F29" i="5"/>
  <c r="R29" i="5"/>
  <c r="N29" i="5"/>
  <c r="J29" i="5"/>
  <c r="J5" i="5"/>
  <c r="R5" i="5"/>
  <c r="N5" i="5"/>
  <c r="R34" i="5"/>
  <c r="N34" i="5"/>
  <c r="J34" i="5"/>
  <c r="F8" i="5"/>
  <c r="R8" i="5"/>
  <c r="N8" i="5"/>
  <c r="J8" i="5"/>
  <c r="F49" i="5"/>
  <c r="R49" i="5"/>
  <c r="N49" i="5"/>
  <c r="J49" i="5"/>
  <c r="R48" i="5"/>
  <c r="N48" i="5"/>
  <c r="J48" i="5"/>
  <c r="F22" i="5"/>
  <c r="J22" i="5"/>
  <c r="R22" i="5"/>
  <c r="N22" i="5"/>
  <c r="N36" i="5"/>
  <c r="R36" i="5"/>
  <c r="J36" i="5"/>
  <c r="R24" i="5"/>
  <c r="N24" i="5"/>
  <c r="J24" i="5"/>
  <c r="N23" i="5"/>
  <c r="J23" i="5"/>
  <c r="R23" i="5"/>
  <c r="F11" i="5"/>
  <c r="J11" i="5"/>
  <c r="R11" i="5"/>
  <c r="N11" i="5"/>
  <c r="F6" i="5"/>
  <c r="J6" i="5"/>
  <c r="R6" i="5"/>
  <c r="N6" i="5"/>
  <c r="J19" i="5"/>
  <c r="R19" i="5"/>
  <c r="N19" i="5"/>
  <c r="R30" i="5"/>
  <c r="N30" i="5"/>
  <c r="J30" i="5"/>
  <c r="R28" i="5"/>
  <c r="N28" i="5"/>
  <c r="J28" i="5"/>
  <c r="F51" i="5"/>
  <c r="J51" i="5"/>
  <c r="R51" i="5"/>
  <c r="N51" i="5"/>
  <c r="F15" i="5"/>
  <c r="R15" i="5"/>
  <c r="N15" i="5"/>
  <c r="J15" i="5"/>
  <c r="F16" i="5"/>
  <c r="R16" i="5"/>
  <c r="N16" i="5"/>
  <c r="J16" i="5"/>
  <c r="N39" i="5"/>
  <c r="J39" i="5"/>
  <c r="R39" i="5"/>
  <c r="F45" i="5"/>
  <c r="F36" i="5"/>
  <c r="F53" i="5"/>
  <c r="F5" i="5"/>
  <c r="F50" i="5"/>
  <c r="F46" i="5"/>
  <c r="F28" i="5"/>
  <c r="F41" i="5"/>
  <c r="F13" i="5"/>
  <c r="F19" i="5"/>
  <c r="F48" i="5"/>
  <c r="F34" i="5"/>
  <c r="F40" i="5"/>
  <c r="F35" i="5"/>
  <c r="F23" i="5"/>
  <c r="F39" i="5"/>
  <c r="F18" i="5"/>
  <c r="F43" i="5"/>
  <c r="F37" i="5"/>
  <c r="F30" i="5"/>
  <c r="M57" i="5" l="1"/>
  <c r="M56" i="5"/>
  <c r="E57" i="5"/>
  <c r="E56" i="5"/>
  <c r="Q57" i="5"/>
  <c r="Q56" i="5"/>
  <c r="I57" i="5"/>
  <c r="I56" i="5"/>
  <c r="B57" i="5" l="1"/>
  <c r="B56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<sst xmlns="http://schemas.openxmlformats.org/spreadsheetml/2006/main" count="1419" uniqueCount="95">
  <si>
    <t>IN</t>
  </si>
  <si>
    <t>OUT</t>
  </si>
  <si>
    <t>mg-mgrp-999900389-ALL.xml</t>
  </si>
  <si>
    <t>beschikbaarstellen_medicatiegegevens</t>
  </si>
  <si>
    <t>fhir_9.2.0_2_hl7_9.2.0</t>
  </si>
  <si>
    <t>mg-mgrp-999900419-ALL.xml</t>
  </si>
  <si>
    <t>mg-mgrp-999900420-ALL.xml</t>
  </si>
  <si>
    <t>mg-mgrp-999900602-ALL.xml</t>
  </si>
  <si>
    <t>mg-mgrp-999900614-ALL.xml</t>
  </si>
  <si>
    <t>mg-mgrp-999900638-ALL.xml</t>
  </si>
  <si>
    <t>mg-mgrp-999900778-ALL.xml</t>
  </si>
  <si>
    <t>mg-mgrp-999900833-ALL.xml</t>
  </si>
  <si>
    <t>mg-mgrp-999900845-ALL.xml</t>
  </si>
  <si>
    <t>mg-mgrp-999900870-ALL.xml</t>
  </si>
  <si>
    <t>mg-mgrp-999900924-ALL.xml</t>
  </si>
  <si>
    <t>mg-mp-mg-tst-MA-Scenarioset0-v20.xml</t>
  </si>
  <si>
    <t>mg-mp-mg-tst-MA-Scenarioset1-v20.xml</t>
  </si>
  <si>
    <t>mg-mp-mg-tst-MA-Scenarioset10-v20.xml</t>
  </si>
  <si>
    <t>mg-mp-mg-tst-MA-Scenarioset2-v20.xml</t>
  </si>
  <si>
    <t>mg-mp-mg-tst-MA-Scenarioset3-v20.xml</t>
  </si>
  <si>
    <t>mg-mp-mg-tst-MA-Scenarioset6-v20.xml</t>
  </si>
  <si>
    <t>mg-mp-mg-tst-MA-Scenarioset7-v20.xml</t>
  </si>
  <si>
    <t>mg-mp-mg-tst-MGB-Scenarioset0-v20.xml</t>
  </si>
  <si>
    <t>mg-mp-mg-tst-MGB-Scenarioset1-v20.xml</t>
  </si>
  <si>
    <t>mg-mp-mg-tst-MGB-Scenarioset10-v20.xml</t>
  </si>
  <si>
    <t>mg-mp-mg-tst-MGB-Scenarioset13-v20.xml</t>
  </si>
  <si>
    <t>mg-mp-mg-tst-MGB-Scenarioset2-v20.xml</t>
  </si>
  <si>
    <t>mg-mp-mg-tst-MGB-Scenarioset5-v20.xml</t>
  </si>
  <si>
    <t>mg-mp-mg-tst-MGB-Scenarioset6-v20.xml</t>
  </si>
  <si>
    <t>mg-mp-mg-tst-MGB-Scenarioset7-v20.xml</t>
  </si>
  <si>
    <t>mg-mp-mg-tst-MTD-Scenarioset11-v20.xml</t>
  </si>
  <si>
    <t>mg-mp-mg-tst-MTD-Scenarioset13-v20.xml</t>
  </si>
  <si>
    <t>mg-mp-mg-tst-MVE-Scenarioset0-v20.xml</t>
  </si>
  <si>
    <t>mg-mp-mg-tst-MVE-Scenarioset1-v20.xml</t>
  </si>
  <si>
    <t>mg-mp-mg-tst-MVE-Scenarioset10-v20.xml</t>
  </si>
  <si>
    <t>mg-mp-mg-tst-MVE-Scenarioset2-v20.xml</t>
  </si>
  <si>
    <t>mg-mp-mg-tst-MVE-Scenarioset7-v20.xml</t>
  </si>
  <si>
    <t>mg-mp-mg-tst-MVE-Scenarioset9-v20.xml</t>
  </si>
  <si>
    <t>mg-mp-mg-tst-TA-Scenarioset0-v20.xml</t>
  </si>
  <si>
    <t>mg-mp-mg-tst-TA-Scenarioset1-v20.xml</t>
  </si>
  <si>
    <t>mg-mp-mg-tst-TA-Scenarioset10-v20.xml</t>
  </si>
  <si>
    <t>mg-mp-mg-tst-TA-Scenarioset2-v20.xml</t>
  </si>
  <si>
    <t>mg-mp-mg-tst-TA-Scenarioset3-v20.xml</t>
  </si>
  <si>
    <t>mg-mp-mg-tst-TA-Scenarioset6-v20.xml</t>
  </si>
  <si>
    <t>mg-mp-mg-tst-TA-Scenarioset7-v20.xml</t>
  </si>
  <si>
    <t>mg-mp-mg-tst-VV-Scenarioset0-v20.xml</t>
  </si>
  <si>
    <t>mg-mp-mg-tst-VV-Scenarioset1-v20.xml</t>
  </si>
  <si>
    <t>mg-mp-mg-tst-VV-Scenarioset10-v20.xml</t>
  </si>
  <si>
    <t>mg-mp-mg-tst-VV-Scenarioset2-v20.xml</t>
  </si>
  <si>
    <t>mg-mp-mg-tst-VV-Scenarioset7-v20.xml</t>
  </si>
  <si>
    <t>mg-mp-mg-tst-VV-Scenarioset9-v20.xml</t>
  </si>
  <si>
    <t>mg-mp-mg-tst-WDS-Scenarioset11-v20.xml</t>
  </si>
  <si>
    <t>mg-mp-mg-tst-WDS-Scenarioset13-v20.xml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</si>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</sst>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63"/>
  <sheetViews>
    <sheetView tabSelected="1" workbookViewId="0">
      <selection activeCell="Q59" sqref="Q59"/>
    </sheetView>
  </sheetViews>
  <sheetFormatPr baseColWidth="10" defaultRowHeight="16" x14ac:dyDescent="0.2"/>
  <cols>
    <col min="1" max="1" width="38.1640625" bestFit="1" customWidth="1"/>
    <col min="2" max="2" width="38.1640625" customWidth="1"/>
    <col min="3" max="3" width="12.83203125" bestFit="1" customWidth="1"/>
    <col min="5" max="5" width="10.83203125" style="2"/>
    <col min="6" max="6" width="4.5" style="2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76</v>
      </c>
      <c r="B1" t="str">
        <f>'9.7.0.18'!I1</f>
        <v>beschikbaarstellen_medicatiegegevens</v>
      </c>
    </row>
    <row r="2" spans="1:22" x14ac:dyDescent="0.2">
      <c r="A2" t="s">
        <v>77</v>
      </c>
      <c r="B2" t="str">
        <f>'9.7.0.18'!J1</f>
        <v>fhir_9.2.0_2_hl7_9.2.0</v>
      </c>
    </row>
    <row r="3" spans="1:22" x14ac:dyDescent="0.2">
      <c r="C3" t="s">
        <v>54</v>
      </c>
      <c r="G3" t="s">
        <v>75</v>
      </c>
      <c r="K3" t="s">
        <v>58</v>
      </c>
      <c r="O3" t="s">
        <v>59</v>
      </c>
    </row>
    <row r="4" spans="1:22" x14ac:dyDescent="0.2">
      <c r="A4" t="s">
        <v>53</v>
      </c>
      <c r="B4" t="s">
        <v>84</v>
      </c>
      <c r="C4" t="s">
        <v>55</v>
      </c>
      <c r="D4" t="s">
        <v>56</v>
      </c>
      <c r="E4" s="2" t="s">
        <v>57</v>
      </c>
      <c r="G4" t="s">
        <v>55</v>
      </c>
      <c r="H4" t="s">
        <v>56</v>
      </c>
      <c r="I4" s="2" t="s">
        <v>57</v>
      </c>
      <c r="K4" t="s">
        <v>55</v>
      </c>
      <c r="L4" t="s">
        <v>56</v>
      </c>
      <c r="M4" s="2" t="s">
        <v>57</v>
      </c>
      <c r="O4" t="s">
        <v>55</v>
      </c>
      <c r="P4" t="s">
        <v>56</v>
      </c>
      <c r="Q4" s="2" t="s">
        <v>57</v>
      </c>
      <c r="T4" s="2" t="s">
        <v>61</v>
      </c>
      <c r="U4" s="2" t="s">
        <v>62</v>
      </c>
      <c r="V4" s="2" t="s">
        <v>60</v>
      </c>
    </row>
    <row r="5" spans="1:22" x14ac:dyDescent="0.2">
      <c r="A5" t="str">
        <f>'9.7.0.18'!$H1</f>
        <v>mg-mgrp-999900389-ALL.xml</v>
      </c>
      <c r="B5" s="5">
        <f>'9.7.0.18'!$C1</f>
        <v>115449</v>
      </c>
      <c r="C5" s="1">
        <f>'9.7.0.18'!$E1</f>
        <v>208.046874</v>
      </c>
      <c r="D5" s="1">
        <f>'9.7.0.18'!$G1</f>
        <v>33.406725999999999</v>
      </c>
      <c r="E5" s="3">
        <f t="shared" ref="E5" si="0">C5+D5</f>
        <v>241.45359999999999</v>
      </c>
      <c r="F5" s="3" t="str">
        <f>IF(E5=$T5,"L",IF(E5=$U5,"H",""))</f>
        <v>H</v>
      </c>
      <c r="G5" s="1">
        <f>'9.8.0.15'!$E1</f>
        <v>180.83443399999999</v>
      </c>
      <c r="H5" s="1">
        <f>'9.8.0.15'!$G1</f>
        <v>43.390709000000001</v>
      </c>
      <c r="I5" s="3">
        <f t="shared" ref="I5" si="1">G5+H5</f>
        <v>224.225143</v>
      </c>
      <c r="J5" s="3" t="str">
        <f>IF(I5=$T5,"L",IF(I5=$U5,"H",""))</f>
        <v/>
      </c>
      <c r="K5" s="1">
        <f>'9.9.1.8'!$E1</f>
        <v>193.11922200000001</v>
      </c>
      <c r="L5" s="1">
        <f>'9.9.1.8'!$G1</f>
        <v>43.347414000000001</v>
      </c>
      <c r="M5" s="3">
        <f t="shared" ref="M5" si="2">K5+L5</f>
        <v>236.46663599999999</v>
      </c>
      <c r="N5" s="3" t="str">
        <f>IF(M5=$T5,"L",IF(M5=$U5,"H",""))</f>
        <v/>
      </c>
      <c r="O5" s="1">
        <f>'11.4'!$E1</f>
        <v>187.16838799999999</v>
      </c>
      <c r="P5" s="1">
        <f>'11.4'!$G1</f>
        <v>32.445166</v>
      </c>
      <c r="Q5" s="3">
        <f t="shared" ref="Q5" si="3">O5+P5</f>
        <v>219.61355399999999</v>
      </c>
      <c r="R5" s="3" t="str">
        <f>IF(Q5=$T5,"L",IF(Q5=$U5,"H",""))</f>
        <v>L</v>
      </c>
      <c r="T5" s="1">
        <f>MIN($E5,$I5,$M5,$Q5)</f>
        <v>219.61355399999999</v>
      </c>
      <c r="U5" s="1">
        <f>MAX($E5,$I5,$M5,$Q5)</f>
        <v>241.45359999999999</v>
      </c>
      <c r="V5" s="1">
        <f>AVERAGE($E5,$I5,$M5,$Q5)</f>
        <v>230.43973325000002</v>
      </c>
    </row>
    <row r="6" spans="1:22" x14ac:dyDescent="0.2">
      <c r="A6" t="str">
        <f>'9.7.0.18'!$H2</f>
        <v>mg-mgrp-999900419-ALL.xml</v>
      </c>
      <c r="B6" s="5">
        <f>'9.7.0.18'!$C2</f>
        <v>79011</v>
      </c>
      <c r="C6" s="1">
        <f>'9.7.0.18'!$E2</f>
        <v>115.504465</v>
      </c>
      <c r="D6" s="1">
        <f>'9.7.0.18'!$G2</f>
        <v>22.749901999999999</v>
      </c>
      <c r="E6" s="3">
        <f t="shared" ref="E6:E53" si="4">C6+D6</f>
        <v>138.254367</v>
      </c>
      <c r="F6" s="3" t="str">
        <f>IF(E6=$T6,"L",IF(E6=$U6,"H",""))</f>
        <v>L</v>
      </c>
      <c r="G6" s="1">
        <f>'9.8.0.15'!$E2</f>
        <v>121.865814</v>
      </c>
      <c r="H6" s="1">
        <f>'9.8.0.15'!$G2</f>
        <v>34.151429999999998</v>
      </c>
      <c r="I6" s="3">
        <f t="shared" ref="I6:I53" si="5">G6+H6</f>
        <v>156.01724400000001</v>
      </c>
      <c r="J6" s="3" t="str">
        <f t="shared" ref="J6:J53" si="6">IF(I6=$T6,"L",IF(I6=$U6,"H",""))</f>
        <v/>
      </c>
      <c r="K6" s="1">
        <f>'9.9.1.8'!$E2</f>
        <v>136.30681100000001</v>
      </c>
      <c r="L6" s="1">
        <f>'9.9.1.8'!$G2</f>
        <v>25.671537000000001</v>
      </c>
      <c r="M6" s="3">
        <f t="shared" ref="M6:M53" si="7">K6+L6</f>
        <v>161.97834800000001</v>
      </c>
      <c r="N6" s="3" t="str">
        <f t="shared" ref="N6:N53" si="8">IF(M6=$T6,"L",IF(M6=$U6,"H",""))</f>
        <v>H</v>
      </c>
      <c r="O6" s="1">
        <f>'11.4'!$E2</f>
        <v>115.625696</v>
      </c>
      <c r="P6" s="1">
        <f>'11.4'!$G2</f>
        <v>28.829342</v>
      </c>
      <c r="Q6" s="3">
        <f t="shared" ref="Q6:Q53" si="9">O6+P6</f>
        <v>144.455038</v>
      </c>
      <c r="R6" s="3" t="str">
        <f t="shared" ref="R6:R53" si="10">IF(Q6=$T6,"L",IF(Q6=$U6,"H",""))</f>
        <v/>
      </c>
      <c r="T6" s="1">
        <f>MIN($E6,$I6,$M6,$Q6)</f>
        <v>138.254367</v>
      </c>
      <c r="U6" s="1">
        <f>MAX($E6,$I6,$M6,$Q6)</f>
        <v>161.97834800000001</v>
      </c>
      <c r="V6" s="1">
        <f>AVERAGE($E6,$I6,$M6,$Q6)</f>
        <v>150.17624925000001</v>
      </c>
    </row>
    <row r="7" spans="1:22" x14ac:dyDescent="0.2">
      <c r="A7" t="str">
        <f>'9.7.0.18'!$H3</f>
        <v>mg-mgrp-999900420-ALL.xml</v>
      </c>
      <c r="B7" s="5">
        <f>'9.7.0.18'!$C3</f>
        <v>82837</v>
      </c>
      <c r="C7" s="1">
        <f>'9.7.0.18'!$E3</f>
        <v>98.084306999999995</v>
      </c>
      <c r="D7" s="1">
        <f>'9.7.0.18'!$G3</f>
        <v>24.759634999999999</v>
      </c>
      <c r="E7" s="3">
        <f t="shared" si="4"/>
        <v>122.843942</v>
      </c>
      <c r="F7" s="3" t="str">
        <f>IF(E7=$T7,"L",IF(E7=$U7,"H",""))</f>
        <v>L</v>
      </c>
      <c r="G7" s="1">
        <f>'9.8.0.15'!$E3</f>
        <v>129.531398</v>
      </c>
      <c r="H7" s="1">
        <f>'9.8.0.15'!$G3</f>
        <v>33.358750999999998</v>
      </c>
      <c r="I7" s="3">
        <f t="shared" si="5"/>
        <v>162.89014900000001</v>
      </c>
      <c r="J7" s="3" t="str">
        <f t="shared" si="6"/>
        <v>H</v>
      </c>
      <c r="K7" s="1">
        <f>'9.9.1.8'!$E3</f>
        <v>132.05588599999999</v>
      </c>
      <c r="L7" s="1">
        <f>'9.9.1.8'!$G3</f>
        <v>27.578593999999999</v>
      </c>
      <c r="M7" s="3">
        <f t="shared" si="7"/>
        <v>159.63448</v>
      </c>
      <c r="N7" s="3" t="str">
        <f t="shared" si="8"/>
        <v/>
      </c>
      <c r="O7" s="1">
        <f>'11.4'!$E3</f>
        <v>126.44582</v>
      </c>
      <c r="P7" s="1">
        <f>'11.4'!$G3</f>
        <v>29.538889999999999</v>
      </c>
      <c r="Q7" s="3">
        <f t="shared" si="9"/>
        <v>155.98471000000001</v>
      </c>
      <c r="R7" s="3" t="str">
        <f t="shared" si="10"/>
        <v/>
      </c>
      <c r="T7" s="1">
        <f>MIN($E7,$I7,$M7,$Q7)</f>
        <v>122.843942</v>
      </c>
      <c r="U7" s="1">
        <f>MAX($E7,$I7,$M7,$Q7)</f>
        <v>162.89014900000001</v>
      </c>
      <c r="V7" s="1">
        <f>AVERAGE($E7,$I7,$M7,$Q7)</f>
        <v>150.33832025000001</v>
      </c>
    </row>
    <row r="8" spans="1:22" x14ac:dyDescent="0.2">
      <c r="A8" t="str">
        <f>'9.7.0.18'!$H4</f>
        <v>mg-mgrp-999900602-ALL.xml</v>
      </c>
      <c r="B8" s="5">
        <f>'9.7.0.18'!$C4</f>
        <v>201241</v>
      </c>
      <c r="C8" s="1">
        <f>'9.7.0.18'!$E4</f>
        <v>197.52966599999999</v>
      </c>
      <c r="D8" s="1">
        <f>'9.7.0.18'!$G4</f>
        <v>53.934524000000003</v>
      </c>
      <c r="E8" s="3">
        <f t="shared" si="4"/>
        <v>251.46419</v>
      </c>
      <c r="F8" s="3" t="str">
        <f>IF(E8=$T8,"L",IF(E8=$U8,"H",""))</f>
        <v>L</v>
      </c>
      <c r="G8" s="1">
        <f>'9.8.0.15'!$E4</f>
        <v>288.13972799999999</v>
      </c>
      <c r="H8" s="1">
        <f>'9.8.0.15'!$G4</f>
        <v>56.912013999999999</v>
      </c>
      <c r="I8" s="3">
        <f t="shared" si="5"/>
        <v>345.05174199999999</v>
      </c>
      <c r="J8" s="3" t="str">
        <f t="shared" si="6"/>
        <v/>
      </c>
      <c r="K8" s="1">
        <f>'9.9.1.8'!$E4</f>
        <v>273.11603000000002</v>
      </c>
      <c r="L8" s="1">
        <f>'9.9.1.8'!$G4</f>
        <v>52.131101999999998</v>
      </c>
      <c r="M8" s="3">
        <f t="shared" si="7"/>
        <v>325.24713200000002</v>
      </c>
      <c r="N8" s="3" t="str">
        <f t="shared" si="8"/>
        <v/>
      </c>
      <c r="O8" s="1">
        <f>'11.4'!$E4</f>
        <v>315.547753</v>
      </c>
      <c r="P8" s="1">
        <f>'11.4'!$G4</f>
        <v>48.174109999999999</v>
      </c>
      <c r="Q8" s="3">
        <f t="shared" si="9"/>
        <v>363.72186299999998</v>
      </c>
      <c r="R8" s="3" t="str">
        <f t="shared" si="10"/>
        <v>H</v>
      </c>
      <c r="T8" s="1">
        <f>MIN($E8,$I8,$M8,$Q8)</f>
        <v>251.46419</v>
      </c>
      <c r="U8" s="1">
        <f>MAX($E8,$I8,$M8,$Q8)</f>
        <v>363.72186299999998</v>
      </c>
      <c r="V8" s="1">
        <f>AVERAGE($E8,$I8,$M8,$Q8)</f>
        <v>321.37123174999999</v>
      </c>
    </row>
    <row r="9" spans="1:22" x14ac:dyDescent="0.2">
      <c r="A9" t="str">
        <f>'9.7.0.18'!$H5</f>
        <v>mg-mgrp-999900614-ALL.xml</v>
      </c>
      <c r="B9" s="5">
        <f>'9.7.0.18'!$C5</f>
        <v>61516</v>
      </c>
      <c r="C9" s="1">
        <f>'9.7.0.18'!$E5</f>
        <v>79.640248999999997</v>
      </c>
      <c r="D9" s="1">
        <f>'9.7.0.18'!$G5</f>
        <v>24.295808000000001</v>
      </c>
      <c r="E9" s="3">
        <f t="shared" si="4"/>
        <v>103.93605700000001</v>
      </c>
      <c r="F9" s="3" t="str">
        <f>IF(E9=$T9,"L",IF(E9=$U9,"H",""))</f>
        <v>L</v>
      </c>
      <c r="G9" s="1">
        <f>'9.8.0.15'!$E5</f>
        <v>94.036767999999995</v>
      </c>
      <c r="H9" s="1">
        <f>'9.8.0.15'!$G5</f>
        <v>25.647480000000002</v>
      </c>
      <c r="I9" s="3">
        <f t="shared" si="5"/>
        <v>119.684248</v>
      </c>
      <c r="J9" s="3" t="str">
        <f t="shared" si="6"/>
        <v>H</v>
      </c>
      <c r="K9" s="1">
        <f>'9.9.1.8'!$E5</f>
        <v>90.931580999999994</v>
      </c>
      <c r="L9" s="1">
        <f>'9.9.1.8'!$G5</f>
        <v>26.868016000000001</v>
      </c>
      <c r="M9" s="3">
        <f t="shared" si="7"/>
        <v>117.79959699999999</v>
      </c>
      <c r="N9" s="3" t="str">
        <f t="shared" si="8"/>
        <v/>
      </c>
      <c r="O9" s="1">
        <f>'11.4'!$E5</f>
        <v>94.386223000000001</v>
      </c>
      <c r="P9" s="1">
        <f>'11.4'!$G5</f>
        <v>24.017236</v>
      </c>
      <c r="Q9" s="3">
        <f t="shared" si="9"/>
        <v>118.403459</v>
      </c>
      <c r="R9" s="3" t="str">
        <f t="shared" si="10"/>
        <v/>
      </c>
      <c r="T9" s="1">
        <f>MIN($E9,$I9,$M9,$Q9)</f>
        <v>103.93605700000001</v>
      </c>
      <c r="U9" s="1">
        <f>MAX($E9,$I9,$M9,$Q9)</f>
        <v>119.684248</v>
      </c>
      <c r="V9" s="1">
        <f>AVERAGE($E9,$I9,$M9,$Q9)</f>
        <v>114.95584024999999</v>
      </c>
    </row>
    <row r="10" spans="1:22" x14ac:dyDescent="0.2">
      <c r="A10" t="str">
        <f>'9.7.0.18'!$H6</f>
        <v>mg-mgrp-999900638-ALL.xml</v>
      </c>
      <c r="B10" s="5">
        <f>'9.7.0.18'!$C6</f>
        <v>22354</v>
      </c>
      <c r="C10" s="1">
        <f>'9.7.0.18'!$E6</f>
        <v>26.153614999999999</v>
      </c>
      <c r="D10" s="1">
        <f>'9.7.0.18'!$G6</f>
        <v>10.916491000000001</v>
      </c>
      <c r="E10" s="3">
        <f t="shared" si="4"/>
        <v>37.070105999999996</v>
      </c>
      <c r="F10" s="3" t="str">
        <f>IF(E10=$T10,"L",IF(E10=$U10,"H",""))</f>
        <v>L</v>
      </c>
      <c r="G10" s="1">
        <f>'9.8.0.15'!$E6</f>
        <v>37.519618999999999</v>
      </c>
      <c r="H10" s="1">
        <f>'9.8.0.15'!$G6</f>
        <v>12.153597</v>
      </c>
      <c r="I10" s="3">
        <f t="shared" si="5"/>
        <v>49.673215999999996</v>
      </c>
      <c r="J10" s="3" t="str">
        <f t="shared" si="6"/>
        <v>H</v>
      </c>
      <c r="K10" s="1">
        <f>'9.9.1.8'!$E6</f>
        <v>32.259677000000003</v>
      </c>
      <c r="L10" s="1">
        <f>'9.9.1.8'!$G6</f>
        <v>12.336004000000001</v>
      </c>
      <c r="M10" s="3">
        <f t="shared" si="7"/>
        <v>44.595681000000006</v>
      </c>
      <c r="N10" s="3" t="str">
        <f t="shared" si="8"/>
        <v/>
      </c>
      <c r="O10" s="1">
        <f>'11.4'!$E6</f>
        <v>37.666925999999997</v>
      </c>
      <c r="P10" s="1">
        <f>'11.4'!$G6</f>
        <v>11.423769</v>
      </c>
      <c r="Q10" s="3">
        <f t="shared" si="9"/>
        <v>49.090694999999997</v>
      </c>
      <c r="R10" s="3" t="str">
        <f t="shared" si="10"/>
        <v/>
      </c>
      <c r="T10" s="1">
        <f>MIN($E10,$I10,$M10,$Q10)</f>
        <v>37.070105999999996</v>
      </c>
      <c r="U10" s="1">
        <f>MAX($E10,$I10,$M10,$Q10)</f>
        <v>49.673215999999996</v>
      </c>
      <c r="V10" s="1">
        <f>AVERAGE($E10,$I10,$M10,$Q10)</f>
        <v>45.107424499999993</v>
      </c>
    </row>
    <row r="11" spans="1:22" x14ac:dyDescent="0.2">
      <c r="A11" t="str">
        <f>'9.7.0.18'!$H7</f>
        <v>mg-mgrp-999900778-ALL.xml</v>
      </c>
      <c r="B11" s="5">
        <f>'9.7.0.18'!$C7</f>
        <v>137712</v>
      </c>
      <c r="C11" s="1">
        <f>'9.7.0.18'!$E7</f>
        <v>180.08973499999999</v>
      </c>
      <c r="D11" s="1">
        <f>'9.7.0.18'!$G7</f>
        <v>35.483009000000003</v>
      </c>
      <c r="E11" s="3">
        <f t="shared" si="4"/>
        <v>215.572744</v>
      </c>
      <c r="F11" s="3" t="str">
        <f>IF(E11=$T11,"L",IF(E11=$U11,"H",""))</f>
        <v>L</v>
      </c>
      <c r="G11" s="1">
        <f>'9.8.0.15'!$E7</f>
        <v>187.53619399999999</v>
      </c>
      <c r="H11" s="1">
        <f>'9.8.0.15'!$G7</f>
        <v>42.475577999999999</v>
      </c>
      <c r="I11" s="3">
        <f t="shared" si="5"/>
        <v>230.01177200000001</v>
      </c>
      <c r="J11" s="3" t="str">
        <f t="shared" si="6"/>
        <v/>
      </c>
      <c r="K11" s="1">
        <f>'9.9.1.8'!$E7</f>
        <v>193.716578</v>
      </c>
      <c r="L11" s="1">
        <f>'9.9.1.8'!$G7</f>
        <v>45.078249999999997</v>
      </c>
      <c r="M11" s="3">
        <f t="shared" si="7"/>
        <v>238.794828</v>
      </c>
      <c r="N11" s="3" t="str">
        <f t="shared" si="8"/>
        <v/>
      </c>
      <c r="O11" s="1">
        <f>'11.4'!$E7</f>
        <v>236.51123999999999</v>
      </c>
      <c r="P11" s="1">
        <f>'11.4'!$G7</f>
        <v>47.634135999999998</v>
      </c>
      <c r="Q11" s="3">
        <f t="shared" si="9"/>
        <v>284.145376</v>
      </c>
      <c r="R11" s="3" t="str">
        <f t="shared" si="10"/>
        <v>H</v>
      </c>
      <c r="T11" s="1">
        <f>MIN($E11,$I11,$M11,$Q11)</f>
        <v>215.572744</v>
      </c>
      <c r="U11" s="1">
        <f>MAX($E11,$I11,$M11,$Q11)</f>
        <v>284.145376</v>
      </c>
      <c r="V11" s="1">
        <f>AVERAGE($E11,$I11,$M11,$Q11)</f>
        <v>242.13117999999997</v>
      </c>
    </row>
    <row r="12" spans="1:22" x14ac:dyDescent="0.2">
      <c r="A12" t="str">
        <f>'9.7.0.18'!$H8</f>
        <v>mg-mgrp-999900833-ALL.xml</v>
      </c>
      <c r="B12" s="5">
        <f>'9.7.0.18'!$C8</f>
        <v>51566</v>
      </c>
      <c r="C12" s="1">
        <f>'9.7.0.18'!$E8</f>
        <v>89.283871000000005</v>
      </c>
      <c r="D12" s="1">
        <f>'9.7.0.18'!$G8</f>
        <v>16.835664000000001</v>
      </c>
      <c r="E12" s="3">
        <f t="shared" si="4"/>
        <v>106.11953500000001</v>
      </c>
      <c r="F12" s="3" t="str">
        <f>IF(E12=$T12,"L",IF(E12=$U12,"H",""))</f>
        <v>L</v>
      </c>
      <c r="G12" s="1">
        <f>'9.8.0.15'!$E8</f>
        <v>98.609707</v>
      </c>
      <c r="H12" s="1">
        <f>'9.8.0.15'!$G8</f>
        <v>24.640947000000001</v>
      </c>
      <c r="I12" s="3">
        <f t="shared" si="5"/>
        <v>123.250654</v>
      </c>
      <c r="J12" s="3" t="str">
        <f t="shared" si="6"/>
        <v>H</v>
      </c>
      <c r="K12" s="1">
        <f>'9.9.1.8'!$E8</f>
        <v>103.133938</v>
      </c>
      <c r="L12" s="1">
        <f>'9.9.1.8'!$G8</f>
        <v>19.003857</v>
      </c>
      <c r="M12" s="3">
        <f t="shared" si="7"/>
        <v>122.137795</v>
      </c>
      <c r="N12" s="3" t="str">
        <f t="shared" si="8"/>
        <v/>
      </c>
      <c r="O12" s="1">
        <f>'11.4'!$E8</f>
        <v>96.352556000000007</v>
      </c>
      <c r="P12" s="1">
        <f>'11.4'!$G8</f>
        <v>16.880572999999998</v>
      </c>
      <c r="Q12" s="3">
        <f t="shared" si="9"/>
        <v>113.23312900000001</v>
      </c>
      <c r="R12" s="3" t="str">
        <f t="shared" si="10"/>
        <v/>
      </c>
      <c r="T12" s="1">
        <f>MIN($E12,$I12,$M12,$Q12)</f>
        <v>106.11953500000001</v>
      </c>
      <c r="U12" s="1">
        <f>MAX($E12,$I12,$M12,$Q12)</f>
        <v>123.250654</v>
      </c>
      <c r="V12" s="1">
        <f>AVERAGE($E12,$I12,$M12,$Q12)</f>
        <v>116.18527825000001</v>
      </c>
    </row>
    <row r="13" spans="1:22" x14ac:dyDescent="0.2">
      <c r="A13" t="str">
        <f>'9.7.0.18'!$H9</f>
        <v>mg-mgrp-999900845-ALL.xml</v>
      </c>
      <c r="B13" s="5">
        <f>'9.7.0.18'!$C9</f>
        <v>33986</v>
      </c>
      <c r="C13" s="1">
        <f>'9.7.0.18'!$E9</f>
        <v>60.669504000000003</v>
      </c>
      <c r="D13" s="1">
        <f>'9.7.0.18'!$G9</f>
        <v>18.630884999999999</v>
      </c>
      <c r="E13" s="3">
        <f t="shared" si="4"/>
        <v>79.300388999999996</v>
      </c>
      <c r="F13" s="3" t="str">
        <f>IF(E13=$T13,"L",IF(E13=$U13,"H",""))</f>
        <v/>
      </c>
      <c r="G13" s="1">
        <f>'9.8.0.15'!$E9</f>
        <v>61.290979</v>
      </c>
      <c r="H13" s="1">
        <f>'9.8.0.15'!$G9</f>
        <v>16.140329999999999</v>
      </c>
      <c r="I13" s="3">
        <f t="shared" si="5"/>
        <v>77.431308999999999</v>
      </c>
      <c r="J13" s="3" t="str">
        <f t="shared" si="6"/>
        <v/>
      </c>
      <c r="K13" s="1">
        <f>'9.9.1.8'!$E9</f>
        <v>62.849997999999999</v>
      </c>
      <c r="L13" s="1">
        <f>'9.9.1.8'!$G9</f>
        <v>19.569134999999999</v>
      </c>
      <c r="M13" s="3">
        <f t="shared" si="7"/>
        <v>82.419133000000002</v>
      </c>
      <c r="N13" s="3" t="str">
        <f t="shared" si="8"/>
        <v>H</v>
      </c>
      <c r="O13" s="1">
        <f>'11.4'!$E9</f>
        <v>59.095731999999998</v>
      </c>
      <c r="P13" s="1">
        <f>'11.4'!$G9</f>
        <v>17.026648999999999</v>
      </c>
      <c r="Q13" s="3">
        <f t="shared" si="9"/>
        <v>76.12238099999999</v>
      </c>
      <c r="R13" s="3" t="str">
        <f t="shared" si="10"/>
        <v>L</v>
      </c>
      <c r="T13" s="1">
        <f>MIN($E13,$I13,$M13,$Q13)</f>
        <v>76.12238099999999</v>
      </c>
      <c r="U13" s="1">
        <f>MAX($E13,$I13,$M13,$Q13)</f>
        <v>82.419133000000002</v>
      </c>
      <c r="V13" s="1">
        <f>AVERAGE($E13,$I13,$M13,$Q13)</f>
        <v>78.818302999999986</v>
      </c>
    </row>
    <row r="14" spans="1:22" x14ac:dyDescent="0.2">
      <c r="A14" t="str">
        <f>'9.7.0.18'!$H10</f>
        <v>mg-mgrp-999900870-ALL.xml</v>
      </c>
      <c r="B14" s="5">
        <f>'9.7.0.18'!$C10</f>
        <v>79706</v>
      </c>
      <c r="C14" s="1">
        <f>'9.7.0.18'!$E10</f>
        <v>68.953288999999998</v>
      </c>
      <c r="D14" s="1">
        <f>'9.7.0.18'!$G10</f>
        <v>21.475004999999999</v>
      </c>
      <c r="E14" s="3">
        <f t="shared" si="4"/>
        <v>90.428293999999994</v>
      </c>
      <c r="F14" s="3" t="str">
        <f>IF(E14=$T14,"L",IF(E14=$U14,"H",""))</f>
        <v>L</v>
      </c>
      <c r="G14" s="1">
        <f>'9.8.0.15'!$E10</f>
        <v>88.626864999999995</v>
      </c>
      <c r="H14" s="1">
        <f>'9.8.0.15'!$G10</f>
        <v>31.982634999999998</v>
      </c>
      <c r="I14" s="3">
        <f t="shared" si="5"/>
        <v>120.6095</v>
      </c>
      <c r="J14" s="3" t="str">
        <f t="shared" si="6"/>
        <v/>
      </c>
      <c r="K14" s="1">
        <f>'9.9.1.8'!$E10</f>
        <v>111.886945</v>
      </c>
      <c r="L14" s="1">
        <f>'9.9.1.8'!$G10</f>
        <v>27.786214999999999</v>
      </c>
      <c r="M14" s="3">
        <f t="shared" si="7"/>
        <v>139.67316</v>
      </c>
      <c r="N14" s="3" t="str">
        <f t="shared" si="8"/>
        <v>H</v>
      </c>
      <c r="O14" s="1">
        <f>'11.4'!$E10</f>
        <v>82.948222999999999</v>
      </c>
      <c r="P14" s="1">
        <f>'11.4'!$G10</f>
        <v>25.860105000000001</v>
      </c>
      <c r="Q14" s="3">
        <f t="shared" si="9"/>
        <v>108.808328</v>
      </c>
      <c r="R14" s="3" t="str">
        <f t="shared" si="10"/>
        <v/>
      </c>
      <c r="T14" s="1">
        <f>MIN($E14,$I14,$M14,$Q14)</f>
        <v>90.428293999999994</v>
      </c>
      <c r="U14" s="1">
        <f>MAX($E14,$I14,$M14,$Q14)</f>
        <v>139.67316</v>
      </c>
      <c r="V14" s="1">
        <f>AVERAGE($E14,$I14,$M14,$Q14)</f>
        <v>114.87982050000001</v>
      </c>
    </row>
    <row r="15" spans="1:22" x14ac:dyDescent="0.2">
      <c r="A15" t="str">
        <f>'9.7.0.18'!$H11</f>
        <v>mg-mgrp-999900924-ALL.xml</v>
      </c>
      <c r="B15" s="5">
        <f>'9.7.0.18'!$C11</f>
        <v>2082</v>
      </c>
      <c r="C15" s="1">
        <f>'9.7.0.18'!$E11</f>
        <v>3.7748439999999999</v>
      </c>
      <c r="D15" s="1">
        <f>'9.7.0.18'!$G11</f>
        <v>2.3798919999999999</v>
      </c>
      <c r="E15" s="3">
        <f t="shared" si="4"/>
        <v>6.1547359999999998</v>
      </c>
      <c r="F15" s="3" t="str">
        <f>IF(E15=$T15,"L",IF(E15=$U15,"H",""))</f>
        <v>L</v>
      </c>
      <c r="G15" s="1">
        <f>'9.8.0.15'!$E11</f>
        <v>4.1259670000000002</v>
      </c>
      <c r="H15" s="1">
        <f>'9.8.0.15'!$G11</f>
        <v>2.5863149999999999</v>
      </c>
      <c r="I15" s="3">
        <f t="shared" si="5"/>
        <v>6.7122820000000001</v>
      </c>
      <c r="J15" s="3" t="str">
        <f t="shared" si="6"/>
        <v/>
      </c>
      <c r="K15" s="1">
        <f>'9.9.1.8'!$E11</f>
        <v>5.2129070000000004</v>
      </c>
      <c r="L15" s="1">
        <f>'9.9.1.8'!$G11</f>
        <v>3.2331979999999998</v>
      </c>
      <c r="M15" s="3">
        <f t="shared" si="7"/>
        <v>8.4461049999999993</v>
      </c>
      <c r="N15" s="3" t="str">
        <f t="shared" si="8"/>
        <v>H</v>
      </c>
      <c r="O15" s="1">
        <f>'11.4'!$E11</f>
        <v>3.8638400000000002</v>
      </c>
      <c r="P15" s="1">
        <f>'11.4'!$G11</f>
        <v>2.7984149999999999</v>
      </c>
      <c r="Q15" s="3">
        <f t="shared" si="9"/>
        <v>6.662255</v>
      </c>
      <c r="R15" s="3" t="str">
        <f t="shared" si="10"/>
        <v/>
      </c>
      <c r="T15" s="1">
        <f>MIN($E15,$I15,$M15,$Q15)</f>
        <v>6.1547359999999998</v>
      </c>
      <c r="U15" s="1">
        <f>MAX($E15,$I15,$M15,$Q15)</f>
        <v>8.4461049999999993</v>
      </c>
      <c r="V15" s="1">
        <f>AVERAGE($E15,$I15,$M15,$Q15)</f>
        <v>6.9938444999999998</v>
      </c>
    </row>
    <row r="16" spans="1:22" x14ac:dyDescent="0.2">
      <c r="A16" t="str">
        <f>'9.7.0.18'!$H12</f>
        <v>mg-mp-mg-tst-MA-Scenarioset0-v20.xml</v>
      </c>
      <c r="B16" s="5">
        <f>'9.7.0.18'!$C12</f>
        <v>37604</v>
      </c>
      <c r="C16" s="1">
        <f>'9.7.0.18'!$E12</f>
        <v>57.504672999999997</v>
      </c>
      <c r="D16" s="1">
        <f>'9.7.0.18'!$G12</f>
        <v>23.015668000000002</v>
      </c>
      <c r="E16" s="3">
        <f t="shared" si="4"/>
        <v>80.520341000000002</v>
      </c>
      <c r="F16" s="3" t="str">
        <f>IF(E16=$T16,"L",IF(E16=$U16,"H",""))</f>
        <v>L</v>
      </c>
      <c r="G16" s="1">
        <f>'9.8.0.15'!$E12</f>
        <v>62.998157999999997</v>
      </c>
      <c r="H16" s="1">
        <f>'9.8.0.15'!$G12</f>
        <v>21.085453999999999</v>
      </c>
      <c r="I16" s="3">
        <f t="shared" si="5"/>
        <v>84.083611999999988</v>
      </c>
      <c r="J16" s="3" t="str">
        <f t="shared" si="6"/>
        <v/>
      </c>
      <c r="K16" s="1">
        <f>'9.9.1.8'!$E12</f>
        <v>73.257936000000001</v>
      </c>
      <c r="L16" s="1">
        <f>'9.9.1.8'!$G12</f>
        <v>19.410796000000001</v>
      </c>
      <c r="M16" s="3">
        <f t="shared" si="7"/>
        <v>92.668732000000006</v>
      </c>
      <c r="N16" s="3" t="str">
        <f t="shared" si="8"/>
        <v>H</v>
      </c>
      <c r="O16" s="1">
        <f>'11.4'!$E12</f>
        <v>63.410843999999997</v>
      </c>
      <c r="P16" s="1">
        <f>'11.4'!$G12</f>
        <v>17.739832</v>
      </c>
      <c r="Q16" s="3">
        <f t="shared" si="9"/>
        <v>81.150676000000004</v>
      </c>
      <c r="R16" s="3" t="str">
        <f t="shared" si="10"/>
        <v/>
      </c>
      <c r="T16" s="1">
        <f>MIN($E16,$I16,$M16,$Q16)</f>
        <v>80.520341000000002</v>
      </c>
      <c r="U16" s="1">
        <f>MAX($E16,$I16,$M16,$Q16)</f>
        <v>92.668732000000006</v>
      </c>
      <c r="V16" s="1">
        <f>AVERAGE($E16,$I16,$M16,$Q16)</f>
        <v>84.60584025</v>
      </c>
    </row>
    <row r="17" spans="1:22" x14ac:dyDescent="0.2">
      <c r="A17" t="str">
        <f>'9.7.0.18'!$H13</f>
        <v>mg-mp-mg-tst-MA-Scenarioset1-v20.xml</v>
      </c>
      <c r="B17" s="5">
        <f>'9.7.0.18'!$C13</f>
        <v>33529</v>
      </c>
      <c r="C17" s="1">
        <f>'9.7.0.18'!$E13</f>
        <v>55.485860000000002</v>
      </c>
      <c r="D17" s="1">
        <f>'9.7.0.18'!$G13</f>
        <v>17.291637000000001</v>
      </c>
      <c r="E17" s="3">
        <f t="shared" si="4"/>
        <v>72.777497000000011</v>
      </c>
      <c r="F17" s="3" t="str">
        <f>IF(E17=$T17,"L",IF(E17=$U17,"H",""))</f>
        <v>L</v>
      </c>
      <c r="G17" s="1">
        <f>'9.8.0.15'!$E13</f>
        <v>58.469365000000003</v>
      </c>
      <c r="H17" s="1">
        <f>'9.8.0.15'!$G13</f>
        <v>20.434272</v>
      </c>
      <c r="I17" s="3">
        <f t="shared" si="5"/>
        <v>78.903637000000003</v>
      </c>
      <c r="J17" s="3" t="str">
        <f t="shared" si="6"/>
        <v/>
      </c>
      <c r="K17" s="1">
        <f>'9.9.1.8'!$E13</f>
        <v>69.276799999999994</v>
      </c>
      <c r="L17" s="1">
        <f>'9.9.1.8'!$G13</f>
        <v>20.160070999999999</v>
      </c>
      <c r="M17" s="3">
        <f t="shared" si="7"/>
        <v>89.436870999999996</v>
      </c>
      <c r="N17" s="3" t="str">
        <f t="shared" si="8"/>
        <v>H</v>
      </c>
      <c r="O17" s="1">
        <f>'11.4'!$E13</f>
        <v>60.312714999999997</v>
      </c>
      <c r="P17" s="1">
        <f>'11.4'!$G13</f>
        <v>17.225532000000001</v>
      </c>
      <c r="Q17" s="3">
        <f t="shared" si="9"/>
        <v>77.538246999999998</v>
      </c>
      <c r="R17" s="3" t="str">
        <f t="shared" si="10"/>
        <v/>
      </c>
      <c r="T17" s="1">
        <f>MIN($E17,$I17,$M17,$Q17)</f>
        <v>72.777497000000011</v>
      </c>
      <c r="U17" s="1">
        <f>MAX($E17,$I17,$M17,$Q17)</f>
        <v>89.436870999999996</v>
      </c>
      <c r="V17" s="1">
        <f>AVERAGE($E17,$I17,$M17,$Q17)</f>
        <v>79.664062999999999</v>
      </c>
    </row>
    <row r="18" spans="1:22" x14ac:dyDescent="0.2">
      <c r="A18" t="str">
        <f>'9.7.0.18'!$H14</f>
        <v>mg-mp-mg-tst-MA-Scenarioset10-v20.xml</v>
      </c>
      <c r="B18" s="5">
        <f>'9.7.0.18'!$C14</f>
        <v>17829</v>
      </c>
      <c r="C18" s="1">
        <f>'9.7.0.18'!$E14</f>
        <v>32.607788999999997</v>
      </c>
      <c r="D18" s="1">
        <f>'9.7.0.18'!$G14</f>
        <v>10.433344999999999</v>
      </c>
      <c r="E18" s="3">
        <f t="shared" si="4"/>
        <v>43.041134</v>
      </c>
      <c r="F18" s="3" t="str">
        <f>IF(E18=$T18,"L",IF(E18=$U18,"H",""))</f>
        <v>L</v>
      </c>
      <c r="G18" s="1">
        <f>'9.8.0.15'!$E14</f>
        <v>33.745189000000003</v>
      </c>
      <c r="H18" s="1">
        <f>'9.8.0.15'!$G14</f>
        <v>11.738732000000001</v>
      </c>
      <c r="I18" s="3">
        <f t="shared" si="5"/>
        <v>45.483921000000002</v>
      </c>
      <c r="J18" s="3" t="str">
        <f t="shared" si="6"/>
        <v/>
      </c>
      <c r="K18" s="1">
        <f>'9.9.1.8'!$E14</f>
        <v>47.476323999999998</v>
      </c>
      <c r="L18" s="1">
        <f>'9.9.1.8'!$G14</f>
        <v>12.705366</v>
      </c>
      <c r="M18" s="3">
        <f t="shared" si="7"/>
        <v>60.181689999999996</v>
      </c>
      <c r="N18" s="3" t="str">
        <f t="shared" si="8"/>
        <v>H</v>
      </c>
      <c r="O18" s="1">
        <f>'11.4'!$E14</f>
        <v>37.022801999999999</v>
      </c>
      <c r="P18" s="1">
        <f>'11.4'!$G14</f>
        <v>11.577895</v>
      </c>
      <c r="Q18" s="3">
        <f t="shared" si="9"/>
        <v>48.600696999999997</v>
      </c>
      <c r="R18" s="3" t="str">
        <f t="shared" si="10"/>
        <v/>
      </c>
      <c r="T18" s="1">
        <f>MIN($E18,$I18,$M18,$Q18)</f>
        <v>43.041134</v>
      </c>
      <c r="U18" s="1">
        <f>MAX($E18,$I18,$M18,$Q18)</f>
        <v>60.181689999999996</v>
      </c>
      <c r="V18" s="1">
        <f>AVERAGE($E18,$I18,$M18,$Q18)</f>
        <v>49.326860500000002</v>
      </c>
    </row>
    <row r="19" spans="1:22" x14ac:dyDescent="0.2">
      <c r="A19" t="str">
        <f>'9.7.0.18'!$H15</f>
        <v>mg-mp-mg-tst-MA-Scenarioset2-v20.xml</v>
      </c>
      <c r="B19" s="5">
        <f>'9.7.0.18'!$C15</f>
        <v>35795</v>
      </c>
      <c r="C19" s="1">
        <f>'9.7.0.18'!$E15</f>
        <v>55.111314999999998</v>
      </c>
      <c r="D19" s="1">
        <f>'9.7.0.18'!$G15</f>
        <v>17.324265</v>
      </c>
      <c r="E19" s="3">
        <f t="shared" si="4"/>
        <v>72.435580000000002</v>
      </c>
      <c r="F19" s="3" t="str">
        <f>IF(E19=$T19,"L",IF(E19=$U19,"H",""))</f>
        <v>L</v>
      </c>
      <c r="G19" s="1">
        <f>'9.8.0.15'!$E15</f>
        <v>68.221836999999994</v>
      </c>
      <c r="H19" s="1">
        <f>'9.8.0.15'!$G15</f>
        <v>22.483554999999999</v>
      </c>
      <c r="I19" s="3">
        <f t="shared" si="5"/>
        <v>90.705391999999989</v>
      </c>
      <c r="J19" s="3" t="str">
        <f t="shared" si="6"/>
        <v/>
      </c>
      <c r="K19" s="1">
        <f>'9.9.1.8'!$E15</f>
        <v>76.717495</v>
      </c>
      <c r="L19" s="1">
        <f>'9.9.1.8'!$G15</f>
        <v>20.104942000000001</v>
      </c>
      <c r="M19" s="3">
        <f t="shared" si="7"/>
        <v>96.822437000000008</v>
      </c>
      <c r="N19" s="3" t="str">
        <f t="shared" si="8"/>
        <v>H</v>
      </c>
      <c r="O19" s="1">
        <f>'11.4'!$E15</f>
        <v>61.451886000000002</v>
      </c>
      <c r="P19" s="1">
        <f>'11.4'!$G15</f>
        <v>19.391857000000002</v>
      </c>
      <c r="Q19" s="3">
        <f t="shared" si="9"/>
        <v>80.843743000000003</v>
      </c>
      <c r="R19" s="3" t="str">
        <f t="shared" si="10"/>
        <v/>
      </c>
      <c r="T19" s="1">
        <f>MIN($E19,$I19,$M19,$Q19)</f>
        <v>72.435580000000002</v>
      </c>
      <c r="U19" s="1">
        <f>MAX($E19,$I19,$M19,$Q19)</f>
        <v>96.822437000000008</v>
      </c>
      <c r="V19" s="1">
        <f>AVERAGE($E19,$I19,$M19,$Q19)</f>
        <v>85.201787999999993</v>
      </c>
    </row>
    <row r="20" spans="1:22" x14ac:dyDescent="0.2">
      <c r="A20" t="str">
        <f>'9.7.0.18'!$H16</f>
        <v>mg-mp-mg-tst-MA-Scenarioset3-v20.xml</v>
      </c>
      <c r="B20" s="5">
        <f>'9.7.0.18'!$C16</f>
        <v>63474</v>
      </c>
      <c r="C20" s="1">
        <f>'9.7.0.18'!$E16</f>
        <v>80.624011999999993</v>
      </c>
      <c r="D20" s="1">
        <f>'9.7.0.18'!$G16</f>
        <v>24.549499999999998</v>
      </c>
      <c r="E20" s="3">
        <f t="shared" si="4"/>
        <v>105.17351199999999</v>
      </c>
      <c r="F20" s="3" t="str">
        <f>IF(E20=$T20,"L",IF(E20=$U20,"H",""))</f>
        <v>L</v>
      </c>
      <c r="G20" s="1">
        <f>'9.8.0.15'!$E16</f>
        <v>86.114804000000007</v>
      </c>
      <c r="H20" s="1">
        <f>'9.8.0.15'!$G16</f>
        <v>27.887125000000001</v>
      </c>
      <c r="I20" s="3">
        <f t="shared" si="5"/>
        <v>114.001929</v>
      </c>
      <c r="J20" s="3" t="str">
        <f t="shared" si="6"/>
        <v/>
      </c>
      <c r="K20" s="1">
        <f>'9.9.1.8'!$E16</f>
        <v>103.89109000000001</v>
      </c>
      <c r="L20" s="1">
        <f>'9.9.1.8'!$G16</f>
        <v>33.393574999999998</v>
      </c>
      <c r="M20" s="3">
        <f t="shared" si="7"/>
        <v>137.28466500000002</v>
      </c>
      <c r="N20" s="3" t="str">
        <f t="shared" si="8"/>
        <v>H</v>
      </c>
      <c r="O20" s="1">
        <f>'11.4'!$E16</f>
        <v>91.038375000000002</v>
      </c>
      <c r="P20" s="1">
        <f>'11.4'!$G16</f>
        <v>27.511604999999999</v>
      </c>
      <c r="Q20" s="3">
        <f t="shared" si="9"/>
        <v>118.54998000000001</v>
      </c>
      <c r="R20" s="3" t="str">
        <f t="shared" si="10"/>
        <v/>
      </c>
      <c r="T20" s="1">
        <f>MIN($E20,$I20,$M20,$Q20)</f>
        <v>105.17351199999999</v>
      </c>
      <c r="U20" s="1">
        <f>MAX($E20,$I20,$M20,$Q20)</f>
        <v>137.28466500000002</v>
      </c>
      <c r="V20" s="1">
        <f>AVERAGE($E20,$I20,$M20,$Q20)</f>
        <v>118.7525215</v>
      </c>
    </row>
    <row r="21" spans="1:22" x14ac:dyDescent="0.2">
      <c r="A21" t="str">
        <f>'9.7.0.18'!$H17</f>
        <v>mg-mp-mg-tst-MA-Scenarioset6-v20.xml</v>
      </c>
      <c r="B21" s="5">
        <f>'9.7.0.18'!$C17</f>
        <v>97606</v>
      </c>
      <c r="C21" s="1">
        <f>'9.7.0.18'!$E17</f>
        <v>138.468064</v>
      </c>
      <c r="D21" s="1">
        <f>'9.7.0.18'!$G17</f>
        <v>31.978750999999999</v>
      </c>
      <c r="E21" s="3">
        <f t="shared" si="4"/>
        <v>170.44681499999999</v>
      </c>
      <c r="F21" s="3" t="str">
        <f>IF(E21=$T21,"L",IF(E21=$U21,"H",""))</f>
        <v>L</v>
      </c>
      <c r="G21" s="1">
        <f>'9.8.0.15'!$E17</f>
        <v>147.427066</v>
      </c>
      <c r="H21" s="1">
        <f>'9.8.0.15'!$G17</f>
        <v>40.253362000000003</v>
      </c>
      <c r="I21" s="3">
        <f t="shared" si="5"/>
        <v>187.68042800000001</v>
      </c>
      <c r="J21" s="3" t="str">
        <f t="shared" si="6"/>
        <v/>
      </c>
      <c r="K21" s="1">
        <f>'9.9.1.8'!$E17</f>
        <v>150.05402900000001</v>
      </c>
      <c r="L21" s="1">
        <f>'9.9.1.8'!$G17</f>
        <v>42.289037</v>
      </c>
      <c r="M21" s="3">
        <f t="shared" si="7"/>
        <v>192.34306600000002</v>
      </c>
      <c r="N21" s="3" t="str">
        <f t="shared" si="8"/>
        <v>H</v>
      </c>
      <c r="O21" s="1">
        <f>'11.4'!$E17</f>
        <v>153.61255800000001</v>
      </c>
      <c r="P21" s="1">
        <f>'11.4'!$G17</f>
        <v>33.490163000000003</v>
      </c>
      <c r="Q21" s="3">
        <f t="shared" si="9"/>
        <v>187.102721</v>
      </c>
      <c r="R21" s="3" t="str">
        <f t="shared" si="10"/>
        <v/>
      </c>
      <c r="T21" s="1">
        <f>MIN($E21,$I21,$M21,$Q21)</f>
        <v>170.44681499999999</v>
      </c>
      <c r="U21" s="1">
        <f>MAX($E21,$I21,$M21,$Q21)</f>
        <v>192.34306600000002</v>
      </c>
      <c r="V21" s="1">
        <f>AVERAGE($E21,$I21,$M21,$Q21)</f>
        <v>184.3932575</v>
      </c>
    </row>
    <row r="22" spans="1:22" x14ac:dyDescent="0.2">
      <c r="A22" t="str">
        <f>'9.7.0.18'!$H18</f>
        <v>mg-mp-mg-tst-MA-Scenarioset7-v20.xml</v>
      </c>
      <c r="B22" s="5">
        <f>'9.7.0.18'!$C18</f>
        <v>27484</v>
      </c>
      <c r="C22" s="1">
        <f>'9.7.0.18'!$E18</f>
        <v>41.833311000000002</v>
      </c>
      <c r="D22" s="1">
        <f>'9.7.0.18'!$G18</f>
        <v>13.186959999999999</v>
      </c>
      <c r="E22" s="3">
        <f t="shared" si="4"/>
        <v>55.020271000000001</v>
      </c>
      <c r="F22" s="3" t="str">
        <f>IF(E22=$T22,"L",IF(E22=$U22,"H",""))</f>
        <v>L</v>
      </c>
      <c r="G22" s="1">
        <f>'9.8.0.15'!$E18</f>
        <v>51.010260000000002</v>
      </c>
      <c r="H22" s="1">
        <f>'9.8.0.15'!$G18</f>
        <v>13.553521999999999</v>
      </c>
      <c r="I22" s="3">
        <f t="shared" si="5"/>
        <v>64.563782000000003</v>
      </c>
      <c r="J22" s="3" t="str">
        <f t="shared" si="6"/>
        <v/>
      </c>
      <c r="K22" s="1">
        <f>'9.9.1.8'!$E18</f>
        <v>58.168494000000003</v>
      </c>
      <c r="L22" s="1">
        <f>'9.9.1.8'!$G18</f>
        <v>16.885522000000002</v>
      </c>
      <c r="M22" s="3">
        <f t="shared" si="7"/>
        <v>75.054016000000004</v>
      </c>
      <c r="N22" s="3" t="str">
        <f t="shared" si="8"/>
        <v>H</v>
      </c>
      <c r="O22" s="1">
        <f>'11.4'!$E18</f>
        <v>50.683259</v>
      </c>
      <c r="P22" s="1">
        <f>'11.4'!$G18</f>
        <v>13.412582</v>
      </c>
      <c r="Q22" s="3">
        <f t="shared" si="9"/>
        <v>64.095841000000007</v>
      </c>
      <c r="R22" s="3" t="str">
        <f t="shared" si="10"/>
        <v/>
      </c>
      <c r="T22" s="1">
        <f>MIN($E22,$I22,$M22,$Q22)</f>
        <v>55.020271000000001</v>
      </c>
      <c r="U22" s="1">
        <f>MAX($E22,$I22,$M22,$Q22)</f>
        <v>75.054016000000004</v>
      </c>
      <c r="V22" s="1">
        <f>AVERAGE($E22,$I22,$M22,$Q22)</f>
        <v>64.683477500000009</v>
      </c>
    </row>
    <row r="23" spans="1:22" x14ac:dyDescent="0.2">
      <c r="A23" t="str">
        <f>'9.7.0.18'!$H19</f>
        <v>mg-mp-mg-tst-MGB-Scenarioset0-v20.xml</v>
      </c>
      <c r="B23" s="5">
        <f>'9.7.0.18'!$C19</f>
        <v>48023</v>
      </c>
      <c r="C23" s="1">
        <f>'9.7.0.18'!$E19</f>
        <v>68.423389999999998</v>
      </c>
      <c r="D23" s="1">
        <f>'9.7.0.18'!$G19</f>
        <v>22.501920999999999</v>
      </c>
      <c r="E23" s="3">
        <f t="shared" si="4"/>
        <v>90.925310999999994</v>
      </c>
      <c r="F23" s="3" t="str">
        <f>IF(E23=$T23,"L",IF(E23=$U23,"H",""))</f>
        <v>L</v>
      </c>
      <c r="G23" s="1">
        <f>'9.8.0.15'!$E19</f>
        <v>77.937044</v>
      </c>
      <c r="H23" s="1">
        <f>'9.8.0.15'!$G19</f>
        <v>22.005941</v>
      </c>
      <c r="I23" s="3">
        <f t="shared" si="5"/>
        <v>99.942984999999993</v>
      </c>
      <c r="J23" s="3" t="str">
        <f t="shared" si="6"/>
        <v/>
      </c>
      <c r="K23" s="1">
        <f>'9.9.1.8'!$E19</f>
        <v>98.060485</v>
      </c>
      <c r="L23" s="1">
        <f>'9.9.1.8'!$G19</f>
        <v>27.186966000000002</v>
      </c>
      <c r="M23" s="3">
        <f t="shared" si="7"/>
        <v>125.247451</v>
      </c>
      <c r="N23" s="3" t="str">
        <f t="shared" si="8"/>
        <v>H</v>
      </c>
      <c r="O23" s="1">
        <f>'11.4'!$E19</f>
        <v>78.150959</v>
      </c>
      <c r="P23" s="1">
        <f>'11.4'!$G19</f>
        <v>24.090608</v>
      </c>
      <c r="Q23" s="3">
        <f t="shared" si="9"/>
        <v>102.241567</v>
      </c>
      <c r="R23" s="3" t="str">
        <f t="shared" si="10"/>
        <v/>
      </c>
      <c r="T23" s="1">
        <f>MIN($E23,$I23,$M23,$Q23)</f>
        <v>90.925310999999994</v>
      </c>
      <c r="U23" s="1">
        <f>MAX($E23,$I23,$M23,$Q23)</f>
        <v>125.247451</v>
      </c>
      <c r="V23" s="1">
        <f>AVERAGE($E23,$I23,$M23,$Q23)</f>
        <v>104.58932849999999</v>
      </c>
    </row>
    <row r="24" spans="1:22" x14ac:dyDescent="0.2">
      <c r="A24" t="str">
        <f>'9.7.0.18'!$H20</f>
        <v>mg-mp-mg-tst-MGB-Scenarioset1-v20.xml</v>
      </c>
      <c r="B24" s="5">
        <f>'9.7.0.18'!$C20</f>
        <v>39681</v>
      </c>
      <c r="C24" s="1">
        <f>'9.7.0.18'!$E20</f>
        <v>60.078285000000001</v>
      </c>
      <c r="D24" s="1">
        <f>'9.7.0.18'!$G20</f>
        <v>17.087595</v>
      </c>
      <c r="E24" s="3">
        <f t="shared" si="4"/>
        <v>77.165880000000001</v>
      </c>
      <c r="F24" s="3" t="str">
        <f>IF(E24=$T24,"L",IF(E24=$U24,"H",""))</f>
        <v>L</v>
      </c>
      <c r="G24" s="1">
        <f>'9.8.0.15'!$E20</f>
        <v>64.647414999999995</v>
      </c>
      <c r="H24" s="1">
        <f>'9.8.0.15'!$G20</f>
        <v>18.995633000000002</v>
      </c>
      <c r="I24" s="3">
        <f t="shared" si="5"/>
        <v>83.643047999999993</v>
      </c>
      <c r="J24" s="3" t="str">
        <f t="shared" si="6"/>
        <v/>
      </c>
      <c r="K24" s="1">
        <f>'9.9.1.8'!$E20</f>
        <v>74.097677000000004</v>
      </c>
      <c r="L24" s="1">
        <f>'9.9.1.8'!$G20</f>
        <v>21.542038999999999</v>
      </c>
      <c r="M24" s="3">
        <f t="shared" si="7"/>
        <v>95.639716000000007</v>
      </c>
      <c r="N24" s="3" t="str">
        <f t="shared" si="8"/>
        <v>H</v>
      </c>
      <c r="O24" s="1">
        <f>'11.4'!$E20</f>
        <v>68.240630999999993</v>
      </c>
      <c r="P24" s="1">
        <f>'11.4'!$G20</f>
        <v>16.510498999999999</v>
      </c>
      <c r="Q24" s="3">
        <f t="shared" si="9"/>
        <v>84.751129999999989</v>
      </c>
      <c r="R24" s="3" t="str">
        <f t="shared" si="10"/>
        <v/>
      </c>
      <c r="T24" s="1">
        <f>MIN($E24,$I24,$M24,$Q24)</f>
        <v>77.165880000000001</v>
      </c>
      <c r="U24" s="1">
        <f>MAX($E24,$I24,$M24,$Q24)</f>
        <v>95.639716000000007</v>
      </c>
      <c r="V24" s="1">
        <f>AVERAGE($E24,$I24,$M24,$Q24)</f>
        <v>85.299943499999998</v>
      </c>
    </row>
    <row r="25" spans="1:22" x14ac:dyDescent="0.2">
      <c r="A25" t="str">
        <f>'9.7.0.18'!$H21</f>
        <v>mg-mp-mg-tst-MGB-Scenarioset10-v20.xml</v>
      </c>
      <c r="B25" s="5">
        <f>'9.7.0.18'!$C21</f>
        <v>20421</v>
      </c>
      <c r="C25" s="1">
        <f>'9.7.0.18'!$E21</f>
        <v>36.668782</v>
      </c>
      <c r="D25" s="1">
        <f>'9.7.0.18'!$G21</f>
        <v>12.040269</v>
      </c>
      <c r="E25" s="3">
        <f t="shared" si="4"/>
        <v>48.709051000000002</v>
      </c>
      <c r="F25" s="3" t="str">
        <f>IF(E25=$T25,"L",IF(E25=$U25,"H",""))</f>
        <v/>
      </c>
      <c r="G25" s="1">
        <f>'9.8.0.15'!$E21</f>
        <v>34.730899000000001</v>
      </c>
      <c r="H25" s="1">
        <f>'9.8.0.15'!$G21</f>
        <v>12.792858000000001</v>
      </c>
      <c r="I25" s="3">
        <f t="shared" si="5"/>
        <v>47.523757000000003</v>
      </c>
      <c r="J25" s="3" t="str">
        <f t="shared" si="6"/>
        <v/>
      </c>
      <c r="K25" s="1">
        <f>'9.9.1.8'!$E21</f>
        <v>41.316899999999997</v>
      </c>
      <c r="L25" s="1">
        <f>'9.9.1.8'!$G21</f>
        <v>15.325455</v>
      </c>
      <c r="M25" s="3">
        <f t="shared" si="7"/>
        <v>56.642354999999995</v>
      </c>
      <c r="N25" s="3" t="str">
        <f t="shared" si="8"/>
        <v>H</v>
      </c>
      <c r="O25" s="1">
        <f>'11.4'!$E21</f>
        <v>34.759124999999997</v>
      </c>
      <c r="P25" s="1">
        <f>'11.4'!$G21</f>
        <v>11.918483</v>
      </c>
      <c r="Q25" s="3">
        <f t="shared" si="9"/>
        <v>46.677607999999999</v>
      </c>
      <c r="R25" s="3" t="str">
        <f t="shared" si="10"/>
        <v>L</v>
      </c>
      <c r="T25" s="1">
        <f>MIN($E25,$I25,$M25,$Q25)</f>
        <v>46.677607999999999</v>
      </c>
      <c r="U25" s="1">
        <f>MAX($E25,$I25,$M25,$Q25)</f>
        <v>56.642354999999995</v>
      </c>
      <c r="V25" s="1">
        <f>AVERAGE($E25,$I25,$M25,$Q25)</f>
        <v>49.888192749999995</v>
      </c>
    </row>
    <row r="26" spans="1:22" x14ac:dyDescent="0.2">
      <c r="A26" t="str">
        <f>'9.7.0.18'!$H22</f>
        <v>mg-mp-mg-tst-MGB-Scenarioset13-v20.xml</v>
      </c>
      <c r="B26" s="5">
        <f>'9.7.0.18'!$C22</f>
        <v>14799</v>
      </c>
      <c r="C26" s="1">
        <f>'9.7.0.18'!$E22</f>
        <v>29.713818</v>
      </c>
      <c r="D26" s="1">
        <f>'9.7.0.18'!$G22</f>
        <v>9.1787620000000008</v>
      </c>
      <c r="E26" s="3">
        <f t="shared" si="4"/>
        <v>38.892580000000002</v>
      </c>
      <c r="F26" s="3" t="str">
        <f>IF(E26=$T26,"L",IF(E26=$U26,"H",""))</f>
        <v/>
      </c>
      <c r="G26" s="1">
        <f>'9.8.0.15'!$E22</f>
        <v>28.847147</v>
      </c>
      <c r="H26" s="1">
        <f>'9.8.0.15'!$G22</f>
        <v>177.65928500000001</v>
      </c>
      <c r="I26" s="3">
        <f t="shared" si="5"/>
        <v>206.50643200000002</v>
      </c>
      <c r="J26" s="3" t="str">
        <f t="shared" si="6"/>
        <v>H</v>
      </c>
      <c r="K26" s="1">
        <f>'9.9.1.8'!$E22</f>
        <v>32.186107</v>
      </c>
      <c r="L26" s="1">
        <f>'9.9.1.8'!$G22</f>
        <v>10.018207</v>
      </c>
      <c r="M26" s="3">
        <f t="shared" si="7"/>
        <v>42.204313999999997</v>
      </c>
      <c r="N26" s="3" t="str">
        <f t="shared" si="8"/>
        <v/>
      </c>
      <c r="O26" s="1">
        <f>'11.4'!$E22</f>
        <v>26.296762000000001</v>
      </c>
      <c r="P26" s="1">
        <f>'11.4'!$G22</f>
        <v>8.3224129999999992</v>
      </c>
      <c r="Q26" s="3">
        <f t="shared" si="9"/>
        <v>34.619174999999998</v>
      </c>
      <c r="R26" s="3" t="str">
        <f t="shared" si="10"/>
        <v>L</v>
      </c>
      <c r="T26" s="1">
        <f>MIN($E26,$I26,$M26,$Q26)</f>
        <v>34.619174999999998</v>
      </c>
      <c r="U26" s="1">
        <f>MAX($E26,$I26,$M26,$Q26)</f>
        <v>206.50643200000002</v>
      </c>
      <c r="V26" s="1">
        <f>AVERAGE($E26,$I26,$M26,$Q26)</f>
        <v>80.555625250000006</v>
      </c>
    </row>
    <row r="27" spans="1:22" x14ac:dyDescent="0.2">
      <c r="A27" t="str">
        <f>'9.7.0.18'!$H23</f>
        <v>mg-mp-mg-tst-MGB-Scenarioset2-v20.xml</v>
      </c>
      <c r="B27" s="5">
        <f>'9.7.0.18'!$C23</f>
        <v>20211</v>
      </c>
      <c r="C27" s="1">
        <f>'9.7.0.18'!$E23</f>
        <v>38.788342</v>
      </c>
      <c r="D27" s="1">
        <f>'9.7.0.18'!$G23</f>
        <v>13.978754</v>
      </c>
      <c r="E27" s="3">
        <f t="shared" si="4"/>
        <v>52.767096000000002</v>
      </c>
      <c r="F27" s="3" t="str">
        <f>IF(E27=$T27,"L",IF(E27=$U27,"H",""))</f>
        <v>L</v>
      </c>
      <c r="G27" s="1">
        <f>'9.8.0.15'!$E23</f>
        <v>41.352254000000002</v>
      </c>
      <c r="H27" s="1">
        <f>'9.8.0.15'!$G23</f>
        <v>12.968724999999999</v>
      </c>
      <c r="I27" s="3">
        <f t="shared" si="5"/>
        <v>54.320979000000001</v>
      </c>
      <c r="J27" s="3" t="str">
        <f t="shared" si="6"/>
        <v/>
      </c>
      <c r="K27" s="1">
        <f>'9.9.1.8'!$E23</f>
        <v>50.153806000000003</v>
      </c>
      <c r="L27" s="1">
        <f>'9.9.1.8'!$G23</f>
        <v>13.448442</v>
      </c>
      <c r="M27" s="3">
        <f t="shared" si="7"/>
        <v>63.602248000000003</v>
      </c>
      <c r="N27" s="3" t="str">
        <f t="shared" si="8"/>
        <v>H</v>
      </c>
      <c r="O27" s="1">
        <f>'11.4'!$E23</f>
        <v>42.485022000000001</v>
      </c>
      <c r="P27" s="1">
        <f>'11.4'!$G23</f>
        <v>11.309825</v>
      </c>
      <c r="Q27" s="3">
        <f t="shared" si="9"/>
        <v>53.794847000000004</v>
      </c>
      <c r="R27" s="3" t="str">
        <f t="shared" si="10"/>
        <v/>
      </c>
      <c r="T27" s="1">
        <f>MIN($E27,$I27,$M27,$Q27)</f>
        <v>52.767096000000002</v>
      </c>
      <c r="U27" s="1">
        <f>MAX($E27,$I27,$M27,$Q27)</f>
        <v>63.602248000000003</v>
      </c>
      <c r="V27" s="1">
        <f>AVERAGE($E27,$I27,$M27,$Q27)</f>
        <v>56.121292500000003</v>
      </c>
    </row>
    <row r="28" spans="1:22" x14ac:dyDescent="0.2">
      <c r="A28" t="str">
        <f>'9.7.0.18'!$H24</f>
        <v>mg-mp-mg-tst-MGB-Scenarioset5-v20.xml</v>
      </c>
      <c r="B28" s="5">
        <f>'9.7.0.18'!$C24</f>
        <v>38029</v>
      </c>
      <c r="C28" s="1">
        <f>'9.7.0.18'!$E24</f>
        <v>52.500900999999999</v>
      </c>
      <c r="D28" s="1">
        <f>'9.7.0.18'!$G24</f>
        <v>18.381920999999998</v>
      </c>
      <c r="E28" s="3">
        <f t="shared" si="4"/>
        <v>70.882822000000004</v>
      </c>
      <c r="F28" s="3" t="str">
        <f>IF(E28=$T28,"L",IF(E28=$U28,"H",""))</f>
        <v>L</v>
      </c>
      <c r="G28" s="1">
        <f>'9.8.0.15'!$E24</f>
        <v>70.647085000000004</v>
      </c>
      <c r="H28" s="1">
        <f>'9.8.0.15'!$G24</f>
        <v>21.296921999999999</v>
      </c>
      <c r="I28" s="3">
        <f t="shared" si="5"/>
        <v>91.944006999999999</v>
      </c>
      <c r="J28" s="3" t="str">
        <f t="shared" si="6"/>
        <v>H</v>
      </c>
      <c r="K28" s="1">
        <f>'9.9.1.8'!$E24</f>
        <v>64.798366000000001</v>
      </c>
      <c r="L28" s="1">
        <f>'9.9.1.8'!$G24</f>
        <v>19.746842000000001</v>
      </c>
      <c r="M28" s="3">
        <f t="shared" si="7"/>
        <v>84.545208000000002</v>
      </c>
      <c r="N28" s="3" t="str">
        <f t="shared" si="8"/>
        <v/>
      </c>
      <c r="O28" s="1">
        <f>'11.4'!$E24</f>
        <v>55.174194999999997</v>
      </c>
      <c r="P28" s="1">
        <f>'11.4'!$G24</f>
        <v>16.812725</v>
      </c>
      <c r="Q28" s="3">
        <f t="shared" si="9"/>
        <v>71.986919999999998</v>
      </c>
      <c r="R28" s="3" t="str">
        <f t="shared" si="10"/>
        <v/>
      </c>
      <c r="T28" s="1">
        <f>MIN($E28,$I28,$M28,$Q28)</f>
        <v>70.882822000000004</v>
      </c>
      <c r="U28" s="1">
        <f>MAX($E28,$I28,$M28,$Q28)</f>
        <v>91.944006999999999</v>
      </c>
      <c r="V28" s="1">
        <f>AVERAGE($E28,$I28,$M28,$Q28)</f>
        <v>79.839739250000008</v>
      </c>
    </row>
    <row r="29" spans="1:22" x14ac:dyDescent="0.2">
      <c r="A29" t="str">
        <f>'9.7.0.18'!$H25</f>
        <v>mg-mp-mg-tst-MGB-Scenarioset6-v20.xml</v>
      </c>
      <c r="B29" s="5">
        <f>'9.7.0.18'!$C25</f>
        <v>124106</v>
      </c>
      <c r="C29" s="1">
        <f>'9.7.0.18'!$E25</f>
        <v>168.855673</v>
      </c>
      <c r="D29" s="1">
        <f>'9.7.0.18'!$G25</f>
        <v>40.229413000000001</v>
      </c>
      <c r="E29" s="3">
        <f t="shared" si="4"/>
        <v>209.08508599999999</v>
      </c>
      <c r="F29" s="3" t="str">
        <f>IF(E29=$T29,"L",IF(E29=$U29,"H",""))</f>
        <v>L</v>
      </c>
      <c r="G29" s="1">
        <f>'9.8.0.15'!$E25</f>
        <v>209.42968200000001</v>
      </c>
      <c r="H29" s="1">
        <f>'9.8.0.15'!$G25</f>
        <v>50.640875999999999</v>
      </c>
      <c r="I29" s="3">
        <f t="shared" si="5"/>
        <v>260.07055800000001</v>
      </c>
      <c r="J29" s="3" t="str">
        <f t="shared" si="6"/>
        <v/>
      </c>
      <c r="K29" s="1">
        <f>'9.9.1.8'!$E25</f>
        <v>217.35543699999999</v>
      </c>
      <c r="L29" s="1">
        <f>'9.9.1.8'!$G25</f>
        <v>48.436566999999997</v>
      </c>
      <c r="M29" s="3">
        <f t="shared" si="7"/>
        <v>265.79200400000002</v>
      </c>
      <c r="N29" s="3" t="str">
        <f t="shared" si="8"/>
        <v>H</v>
      </c>
      <c r="O29" s="1">
        <f>'11.4'!$E25</f>
        <v>182.29206099999999</v>
      </c>
      <c r="P29" s="1">
        <f>'11.4'!$G25</f>
        <v>38.331589000000001</v>
      </c>
      <c r="Q29" s="3">
        <f t="shared" si="9"/>
        <v>220.62365</v>
      </c>
      <c r="R29" s="3" t="str">
        <f t="shared" si="10"/>
        <v/>
      </c>
      <c r="T29" s="1">
        <f>MIN($E29,$I29,$M29,$Q29)</f>
        <v>209.08508599999999</v>
      </c>
      <c r="U29" s="1">
        <f>MAX($E29,$I29,$M29,$Q29)</f>
        <v>265.79200400000002</v>
      </c>
      <c r="V29" s="1">
        <f>AVERAGE($E29,$I29,$M29,$Q29)</f>
        <v>238.89282450000002</v>
      </c>
    </row>
    <row r="30" spans="1:22" x14ac:dyDescent="0.2">
      <c r="A30" t="str">
        <f>'9.7.0.18'!$H26</f>
        <v>mg-mp-mg-tst-MGB-Scenarioset7-v20.xml</v>
      </c>
      <c r="B30" s="5">
        <f>'9.7.0.18'!$C26</f>
        <v>31277</v>
      </c>
      <c r="C30" s="1">
        <f>'9.7.0.18'!$E26</f>
        <v>38.546182000000002</v>
      </c>
      <c r="D30" s="1">
        <f>'9.7.0.18'!$G26</f>
        <v>14.099491</v>
      </c>
      <c r="E30" s="3">
        <f t="shared" si="4"/>
        <v>52.645673000000002</v>
      </c>
      <c r="F30" s="3" t="str">
        <f>IF(E30=$T30,"L",IF(E30=$U30,"H",""))</f>
        <v>L</v>
      </c>
      <c r="G30" s="1">
        <f>'9.8.0.15'!$E26</f>
        <v>47.575524000000001</v>
      </c>
      <c r="H30" s="1">
        <f>'9.8.0.15'!$G26</f>
        <v>15.026260000000001</v>
      </c>
      <c r="I30" s="3">
        <f t="shared" si="5"/>
        <v>62.601784000000002</v>
      </c>
      <c r="J30" s="3" t="str">
        <f t="shared" si="6"/>
        <v/>
      </c>
      <c r="K30" s="1">
        <f>'9.9.1.8'!$E26</f>
        <v>48.139139999999998</v>
      </c>
      <c r="L30" s="1">
        <f>'9.9.1.8'!$G26</f>
        <v>15.125076999999999</v>
      </c>
      <c r="M30" s="3">
        <f t="shared" si="7"/>
        <v>63.264216999999995</v>
      </c>
      <c r="N30" s="3" t="str">
        <f t="shared" si="8"/>
        <v>H</v>
      </c>
      <c r="O30" s="1">
        <f>'11.4'!$E26</f>
        <v>39.356889000000002</v>
      </c>
      <c r="P30" s="1">
        <f>'11.4'!$G26</f>
        <v>13.710877999999999</v>
      </c>
      <c r="Q30" s="3">
        <f t="shared" si="9"/>
        <v>53.067767000000003</v>
      </c>
      <c r="R30" s="3" t="str">
        <f t="shared" si="10"/>
        <v/>
      </c>
      <c r="T30" s="1">
        <f>MIN($E30,$I30,$M30,$Q30)</f>
        <v>52.645673000000002</v>
      </c>
      <c r="U30" s="1">
        <f>MAX($E30,$I30,$M30,$Q30)</f>
        <v>63.264216999999995</v>
      </c>
      <c r="V30" s="1">
        <f>AVERAGE($E30,$I30,$M30,$Q30)</f>
        <v>57.894860250000001</v>
      </c>
    </row>
    <row r="31" spans="1:22" x14ac:dyDescent="0.2">
      <c r="A31" t="str">
        <f>'9.7.0.18'!$H27</f>
        <v>mg-mp-mg-tst-MTD-Scenarioset11-v20.xml</v>
      </c>
      <c r="B31" s="5">
        <f>'9.7.0.18'!$C27</f>
        <v>34950</v>
      </c>
      <c r="C31" s="1">
        <f>'9.7.0.18'!$E27</f>
        <v>47.521791999999998</v>
      </c>
      <c r="D31" s="1">
        <f>'9.7.0.18'!$G27</f>
        <v>14.066095000000001</v>
      </c>
      <c r="E31" s="3">
        <f t="shared" si="4"/>
        <v>61.587886999999995</v>
      </c>
      <c r="F31" s="3" t="str">
        <f>IF(E31=$T31,"L",IF(E31=$U31,"H",""))</f>
        <v>L</v>
      </c>
      <c r="G31" s="1">
        <f>'9.8.0.15'!$E27</f>
        <v>61.134351000000002</v>
      </c>
      <c r="H31" s="1">
        <f>'9.8.0.15'!$G27</f>
        <v>15.103241000000001</v>
      </c>
      <c r="I31" s="3">
        <f t="shared" si="5"/>
        <v>76.237592000000006</v>
      </c>
      <c r="J31" s="3" t="str">
        <f t="shared" si="6"/>
        <v/>
      </c>
      <c r="K31" s="1">
        <f>'9.9.1.8'!$E27</f>
        <v>64.391461000000007</v>
      </c>
      <c r="L31" s="1">
        <f>'9.9.1.8'!$G27</f>
        <v>15.264739000000001</v>
      </c>
      <c r="M31" s="3">
        <f t="shared" si="7"/>
        <v>79.656200000000013</v>
      </c>
      <c r="N31" s="3" t="str">
        <f t="shared" si="8"/>
        <v>H</v>
      </c>
      <c r="O31" s="1">
        <f>'11.4'!$E27</f>
        <v>49.196948999999996</v>
      </c>
      <c r="P31" s="1">
        <f>'11.4'!$G27</f>
        <v>13.995241</v>
      </c>
      <c r="Q31" s="3">
        <f t="shared" si="9"/>
        <v>63.192189999999997</v>
      </c>
      <c r="R31" s="3" t="str">
        <f t="shared" si="10"/>
        <v/>
      </c>
      <c r="T31" s="1">
        <f>MIN($E31,$I31,$M31,$Q31)</f>
        <v>61.587886999999995</v>
      </c>
      <c r="U31" s="1">
        <f>MAX($E31,$I31,$M31,$Q31)</f>
        <v>79.656200000000013</v>
      </c>
      <c r="V31" s="1">
        <f>AVERAGE($E31,$I31,$M31,$Q31)</f>
        <v>70.168467250000006</v>
      </c>
    </row>
    <row r="32" spans="1:22" x14ac:dyDescent="0.2">
      <c r="A32" t="str">
        <f>'9.7.0.18'!$H28</f>
        <v>mg-mp-mg-tst-MTD-Scenarioset13-v20.xml</v>
      </c>
      <c r="B32" s="5">
        <f>'9.7.0.18'!$C28</f>
        <v>14254</v>
      </c>
      <c r="C32" s="1">
        <f>'9.7.0.18'!$E28</f>
        <v>23.417432999999999</v>
      </c>
      <c r="D32" s="1">
        <f>'9.7.0.18'!$G28</f>
        <v>7.0518429999999999</v>
      </c>
      <c r="E32" s="3">
        <f t="shared" si="4"/>
        <v>30.469276000000001</v>
      </c>
      <c r="F32" s="3" t="str">
        <f>IF(E32=$T32,"L",IF(E32=$U32,"H",""))</f>
        <v>L</v>
      </c>
      <c r="G32" s="1">
        <f>'9.8.0.15'!$E28</f>
        <v>28.110593999999999</v>
      </c>
      <c r="H32" s="1">
        <f>'9.8.0.15'!$G28</f>
        <v>15.043435000000001</v>
      </c>
      <c r="I32" s="3">
        <f t="shared" si="5"/>
        <v>43.154029000000001</v>
      </c>
      <c r="J32" s="3" t="str">
        <f t="shared" si="6"/>
        <v>H</v>
      </c>
      <c r="K32" s="1">
        <f>'9.9.1.8'!$E28</f>
        <v>28.680686999999999</v>
      </c>
      <c r="L32" s="1">
        <f>'9.9.1.8'!$G28</f>
        <v>7.447686</v>
      </c>
      <c r="M32" s="3">
        <f t="shared" si="7"/>
        <v>36.128372999999996</v>
      </c>
      <c r="N32" s="3" t="str">
        <f t="shared" si="8"/>
        <v/>
      </c>
      <c r="O32" s="1">
        <f>'11.4'!$E28</f>
        <v>25.999585</v>
      </c>
      <c r="P32" s="1">
        <f>'11.4'!$G28</f>
        <v>7.0331830000000002</v>
      </c>
      <c r="Q32" s="3">
        <f t="shared" si="9"/>
        <v>33.032767999999997</v>
      </c>
      <c r="R32" s="3" t="str">
        <f t="shared" si="10"/>
        <v/>
      </c>
      <c r="T32" s="1">
        <f>MIN($E32,$I32,$M32,$Q32)</f>
        <v>30.469276000000001</v>
      </c>
      <c r="U32" s="1">
        <f>MAX($E32,$I32,$M32,$Q32)</f>
        <v>43.154029000000001</v>
      </c>
      <c r="V32" s="1">
        <f>AVERAGE($E32,$I32,$M32,$Q32)</f>
        <v>35.696111500000001</v>
      </c>
    </row>
    <row r="33" spans="1:22" x14ac:dyDescent="0.2">
      <c r="A33" t="str">
        <f>'9.7.0.18'!$H29</f>
        <v>mg-mp-mg-tst-MVE-Scenarioset0-v20.xml</v>
      </c>
      <c r="B33" s="5">
        <f>'9.7.0.18'!$C29</f>
        <v>30242</v>
      </c>
      <c r="C33" s="1">
        <f>'9.7.0.18'!$E29</f>
        <v>53.304257</v>
      </c>
      <c r="D33" s="1">
        <f>'9.7.0.18'!$G29</f>
        <v>12.298328</v>
      </c>
      <c r="E33" s="3">
        <f t="shared" si="4"/>
        <v>65.602585000000005</v>
      </c>
      <c r="F33" s="3" t="str">
        <f>IF(E33=$T33,"L",IF(E33=$U33,"H",""))</f>
        <v>L</v>
      </c>
      <c r="G33" s="1">
        <f>'9.8.0.15'!$E29</f>
        <v>62.147869</v>
      </c>
      <c r="H33" s="1">
        <f>'9.8.0.15'!$G29</f>
        <v>13.33459</v>
      </c>
      <c r="I33" s="3">
        <f t="shared" si="5"/>
        <v>75.482459000000006</v>
      </c>
      <c r="J33" s="3" t="str">
        <f t="shared" si="6"/>
        <v/>
      </c>
      <c r="K33" s="1">
        <f>'9.9.1.8'!$E29</f>
        <v>72.310666999999995</v>
      </c>
      <c r="L33" s="1">
        <f>'9.9.1.8'!$G29</f>
        <v>11.296193000000001</v>
      </c>
      <c r="M33" s="3">
        <f t="shared" si="7"/>
        <v>83.606859999999998</v>
      </c>
      <c r="N33" s="3" t="str">
        <f t="shared" si="8"/>
        <v>H</v>
      </c>
      <c r="O33" s="1">
        <f>'11.4'!$E29</f>
        <v>55.658219000000003</v>
      </c>
      <c r="P33" s="1">
        <f>'11.4'!$G29</f>
        <v>11.904679</v>
      </c>
      <c r="Q33" s="3">
        <f t="shared" si="9"/>
        <v>67.562898000000004</v>
      </c>
      <c r="R33" s="3" t="str">
        <f t="shared" si="10"/>
        <v/>
      </c>
      <c r="T33" s="1">
        <f>MIN($E33,$I33,$M33,$Q33)</f>
        <v>65.602585000000005</v>
      </c>
      <c r="U33" s="1">
        <f>MAX($E33,$I33,$M33,$Q33)</f>
        <v>83.606859999999998</v>
      </c>
      <c r="V33" s="1">
        <f>AVERAGE($E33,$I33,$M33,$Q33)</f>
        <v>73.06370050000001</v>
      </c>
    </row>
    <row r="34" spans="1:22" x14ac:dyDescent="0.2">
      <c r="A34" t="str">
        <f>'9.7.0.18'!$H30</f>
        <v>mg-mp-mg-tst-MVE-Scenarioset1-v20.xml</v>
      </c>
      <c r="B34" s="5">
        <f>'9.7.0.18'!$C30</f>
        <v>10794</v>
      </c>
      <c r="C34" s="1">
        <f>'9.7.0.18'!$E30</f>
        <v>23.670093999999999</v>
      </c>
      <c r="D34" s="1">
        <f>'9.7.0.18'!$G30</f>
        <v>7.1487860000000003</v>
      </c>
      <c r="E34" s="3">
        <f t="shared" si="4"/>
        <v>30.81888</v>
      </c>
      <c r="F34" s="3" t="str">
        <f>IF(E34=$T34,"L",IF(E34=$U34,"H",""))</f>
        <v/>
      </c>
      <c r="G34" s="1">
        <f>'9.8.0.15'!$E30</f>
        <v>28.142237999999999</v>
      </c>
      <c r="H34" s="1">
        <f>'9.8.0.15'!$G30</f>
        <v>7.4584919999999997</v>
      </c>
      <c r="I34" s="3">
        <f t="shared" si="5"/>
        <v>35.600729999999999</v>
      </c>
      <c r="J34" s="3" t="str">
        <f t="shared" si="6"/>
        <v>H</v>
      </c>
      <c r="K34" s="1">
        <f>'9.9.1.8'!$E30</f>
        <v>23.745280999999999</v>
      </c>
      <c r="L34" s="1">
        <f>'9.9.1.8'!$G30</f>
        <v>6.784662</v>
      </c>
      <c r="M34" s="3">
        <f t="shared" si="7"/>
        <v>30.529942999999999</v>
      </c>
      <c r="N34" s="3" t="str">
        <f t="shared" si="8"/>
        <v/>
      </c>
      <c r="O34" s="1">
        <f>'11.4'!$E30</f>
        <v>23.127289000000001</v>
      </c>
      <c r="P34" s="1">
        <f>'11.4'!$G30</f>
        <v>7.2395810000000003</v>
      </c>
      <c r="Q34" s="3">
        <f t="shared" si="9"/>
        <v>30.366870000000002</v>
      </c>
      <c r="R34" s="3" t="str">
        <f t="shared" si="10"/>
        <v>L</v>
      </c>
      <c r="T34" s="1">
        <f>MIN($E34,$I34,$M34,$Q34)</f>
        <v>30.366870000000002</v>
      </c>
      <c r="U34" s="1">
        <f>MAX($E34,$I34,$M34,$Q34)</f>
        <v>35.600729999999999</v>
      </c>
      <c r="V34" s="1">
        <f>AVERAGE($E34,$I34,$M34,$Q34)</f>
        <v>31.829105750000004</v>
      </c>
    </row>
    <row r="35" spans="1:22" x14ac:dyDescent="0.2">
      <c r="A35" t="str">
        <f>'9.7.0.18'!$H31</f>
        <v>mg-mp-mg-tst-MVE-Scenarioset10-v20.xml</v>
      </c>
      <c r="B35" s="5">
        <f>'9.7.0.18'!$C31</f>
        <v>7703</v>
      </c>
      <c r="C35" s="1">
        <f>'9.7.0.18'!$E31</f>
        <v>20.667760000000001</v>
      </c>
      <c r="D35" s="1">
        <f>'9.7.0.18'!$G31</f>
        <v>6.2254290000000001</v>
      </c>
      <c r="E35" s="3">
        <f t="shared" si="4"/>
        <v>26.893189</v>
      </c>
      <c r="F35" s="3" t="str">
        <f>IF(E35=$T35,"L",IF(E35=$U35,"H",""))</f>
        <v/>
      </c>
      <c r="G35" s="1">
        <f>'9.8.0.15'!$E31</f>
        <v>22.948440999999999</v>
      </c>
      <c r="H35" s="1">
        <f>'9.8.0.15'!$G31</f>
        <v>6.5206799999999996</v>
      </c>
      <c r="I35" s="3">
        <f t="shared" si="5"/>
        <v>29.469120999999998</v>
      </c>
      <c r="J35" s="3" t="str">
        <f t="shared" si="6"/>
        <v>H</v>
      </c>
      <c r="K35" s="1">
        <f>'9.9.1.8'!$E31</f>
        <v>23.151240000000001</v>
      </c>
      <c r="L35" s="1">
        <f>'9.9.1.8'!$G31</f>
        <v>6.1870560000000001</v>
      </c>
      <c r="M35" s="3">
        <f t="shared" si="7"/>
        <v>29.338296</v>
      </c>
      <c r="N35" s="3" t="str">
        <f t="shared" si="8"/>
        <v/>
      </c>
      <c r="O35" s="1">
        <f>'11.4'!$E31</f>
        <v>19.497149</v>
      </c>
      <c r="P35" s="1">
        <f>'11.4'!$G31</f>
        <v>5.9954869999999998</v>
      </c>
      <c r="Q35" s="3">
        <f t="shared" si="9"/>
        <v>25.492636000000001</v>
      </c>
      <c r="R35" s="3" t="str">
        <f t="shared" si="10"/>
        <v>L</v>
      </c>
      <c r="T35" s="1">
        <f>MIN($E35,$I35,$M35,$Q35)</f>
        <v>25.492636000000001</v>
      </c>
      <c r="U35" s="1">
        <f>MAX($E35,$I35,$M35,$Q35)</f>
        <v>29.469120999999998</v>
      </c>
      <c r="V35" s="1">
        <f>AVERAGE($E35,$I35,$M35,$Q35)</f>
        <v>27.798310499999999</v>
      </c>
    </row>
    <row r="36" spans="1:22" x14ac:dyDescent="0.2">
      <c r="A36" t="str">
        <f>'9.7.0.18'!$H32</f>
        <v>mg-mp-mg-tst-MVE-Scenarioset2-v20.xml</v>
      </c>
      <c r="B36" s="5">
        <f>'9.7.0.18'!$C32</f>
        <v>12237</v>
      </c>
      <c r="C36" s="1">
        <f>'9.7.0.18'!$E32</f>
        <v>25.744793999999999</v>
      </c>
      <c r="D36" s="1">
        <f>'9.7.0.18'!$G32</f>
        <v>7.2035309999999999</v>
      </c>
      <c r="E36" s="3">
        <f t="shared" si="4"/>
        <v>32.948324999999997</v>
      </c>
      <c r="F36" s="3" t="str">
        <f>IF(E36=$T36,"L",IF(E36=$U36,"H",""))</f>
        <v/>
      </c>
      <c r="G36" s="1">
        <f>'9.8.0.15'!$E32</f>
        <v>30.528271</v>
      </c>
      <c r="H36" s="1">
        <f>'9.8.0.15'!$G32</f>
        <v>8.7184360000000005</v>
      </c>
      <c r="I36" s="3">
        <f t="shared" si="5"/>
        <v>39.246707000000001</v>
      </c>
      <c r="J36" s="3" t="str">
        <f t="shared" si="6"/>
        <v>H</v>
      </c>
      <c r="K36" s="1">
        <f>'9.9.1.8'!$E32</f>
        <v>24.714594999999999</v>
      </c>
      <c r="L36" s="1">
        <f>'9.9.1.8'!$G32</f>
        <v>6.7643779999999998</v>
      </c>
      <c r="M36" s="3">
        <f t="shared" si="7"/>
        <v>31.478973</v>
      </c>
      <c r="N36" s="3" t="str">
        <f t="shared" si="8"/>
        <v/>
      </c>
      <c r="O36" s="1">
        <f>'11.4'!$E32</f>
        <v>23.043355999999999</v>
      </c>
      <c r="P36" s="1">
        <f>'11.4'!$G32</f>
        <v>7.7125409999999999</v>
      </c>
      <c r="Q36" s="3">
        <f t="shared" si="9"/>
        <v>30.755896999999997</v>
      </c>
      <c r="R36" s="3" t="str">
        <f t="shared" si="10"/>
        <v>L</v>
      </c>
      <c r="T36" s="1">
        <f>MIN($E36,$I36,$M36,$Q36)</f>
        <v>30.755896999999997</v>
      </c>
      <c r="U36" s="1">
        <f>MAX($E36,$I36,$M36,$Q36)</f>
        <v>39.246707000000001</v>
      </c>
      <c r="V36" s="1">
        <f>AVERAGE($E36,$I36,$M36,$Q36)</f>
        <v>33.6074755</v>
      </c>
    </row>
    <row r="37" spans="1:22" x14ac:dyDescent="0.2">
      <c r="A37" t="str">
        <f>'9.7.0.18'!$H33</f>
        <v>mg-mp-mg-tst-MVE-Scenarioset7-v20.xml</v>
      </c>
      <c r="B37" s="5">
        <f>'9.7.0.18'!$C33</f>
        <v>23498</v>
      </c>
      <c r="C37" s="1">
        <f>'9.7.0.18'!$E33</f>
        <v>36.11591</v>
      </c>
      <c r="D37" s="1">
        <f>'9.7.0.18'!$G33</f>
        <v>14.020128</v>
      </c>
      <c r="E37" s="3">
        <f t="shared" si="4"/>
        <v>50.136037999999999</v>
      </c>
      <c r="F37" s="3" t="str">
        <f>IF(E37=$T37,"L",IF(E37=$U37,"H",""))</f>
        <v/>
      </c>
      <c r="G37" s="1">
        <f>'9.8.0.15'!$E33</f>
        <v>40.83549</v>
      </c>
      <c r="H37" s="1">
        <f>'9.8.0.15'!$G33</f>
        <v>10.383098</v>
      </c>
      <c r="I37" s="3">
        <f t="shared" si="5"/>
        <v>51.218587999999997</v>
      </c>
      <c r="J37" s="3" t="str">
        <f t="shared" si="6"/>
        <v>H</v>
      </c>
      <c r="K37" s="1">
        <f>'9.9.1.8'!$E33</f>
        <v>35.923414999999999</v>
      </c>
      <c r="L37" s="1">
        <f>'9.9.1.8'!$G33</f>
        <v>10.705333</v>
      </c>
      <c r="M37" s="3">
        <f t="shared" si="7"/>
        <v>46.628748000000002</v>
      </c>
      <c r="N37" s="3" t="str">
        <f t="shared" si="8"/>
        <v/>
      </c>
      <c r="O37" s="1">
        <f>'11.4'!$E33</f>
        <v>33.827212000000003</v>
      </c>
      <c r="P37" s="1">
        <f>'11.4'!$G33</f>
        <v>8.9618479999999998</v>
      </c>
      <c r="Q37" s="3">
        <f t="shared" si="9"/>
        <v>42.789060000000006</v>
      </c>
      <c r="R37" s="3" t="str">
        <f t="shared" si="10"/>
        <v>L</v>
      </c>
      <c r="T37" s="1">
        <f>MIN($E37,$I37,$M37,$Q37)</f>
        <v>42.789060000000006</v>
      </c>
      <c r="U37" s="1">
        <f>MAX($E37,$I37,$M37,$Q37)</f>
        <v>51.218587999999997</v>
      </c>
      <c r="V37" s="1">
        <f>AVERAGE($E37,$I37,$M37,$Q37)</f>
        <v>47.693108500000001</v>
      </c>
    </row>
    <row r="38" spans="1:22" x14ac:dyDescent="0.2">
      <c r="A38" t="str">
        <f>'9.7.0.18'!$H34</f>
        <v>mg-mp-mg-tst-MVE-Scenarioset9-v20.xml</v>
      </c>
      <c r="B38" s="5">
        <f>'9.7.0.18'!$C34</f>
        <v>18384</v>
      </c>
      <c r="C38" s="1">
        <f>'9.7.0.18'!$E34</f>
        <v>37.619523000000001</v>
      </c>
      <c r="D38" s="1">
        <f>'9.7.0.18'!$G34</f>
        <v>9.5723889999999994</v>
      </c>
      <c r="E38" s="3">
        <f t="shared" si="4"/>
        <v>47.191912000000002</v>
      </c>
      <c r="F38" s="3" t="str">
        <f>IF(E38=$T38,"L",IF(E38=$U38,"H",""))</f>
        <v/>
      </c>
      <c r="G38" s="1">
        <f>'9.8.0.15'!$E34</f>
        <v>47.459074000000001</v>
      </c>
      <c r="H38" s="1">
        <f>'9.8.0.15'!$G34</f>
        <v>9.9945120000000003</v>
      </c>
      <c r="I38" s="3">
        <f t="shared" si="5"/>
        <v>57.453586000000001</v>
      </c>
      <c r="J38" s="3" t="str">
        <f t="shared" si="6"/>
        <v>H</v>
      </c>
      <c r="K38" s="1">
        <f>'9.9.1.8'!$E34</f>
        <v>39.018717000000002</v>
      </c>
      <c r="L38" s="1">
        <f>'9.9.1.8'!$G34</f>
        <v>8.5570229999999992</v>
      </c>
      <c r="M38" s="3">
        <f t="shared" si="7"/>
        <v>47.575740000000003</v>
      </c>
      <c r="N38" s="3" t="str">
        <f t="shared" si="8"/>
        <v/>
      </c>
      <c r="O38" s="1">
        <f>'11.4'!$E34</f>
        <v>36.816989999999997</v>
      </c>
      <c r="P38" s="1">
        <f>'11.4'!$G34</f>
        <v>9.3055599999999998</v>
      </c>
      <c r="Q38" s="3">
        <f t="shared" si="9"/>
        <v>46.122549999999997</v>
      </c>
      <c r="R38" s="3" t="str">
        <f t="shared" si="10"/>
        <v>L</v>
      </c>
      <c r="T38" s="1">
        <f>MIN($E38,$I38,$M38,$Q38)</f>
        <v>46.122549999999997</v>
      </c>
      <c r="U38" s="1">
        <f>MAX($E38,$I38,$M38,$Q38)</f>
        <v>57.453586000000001</v>
      </c>
      <c r="V38" s="1">
        <f>AVERAGE($E38,$I38,$M38,$Q38)</f>
        <v>49.585946999999997</v>
      </c>
    </row>
    <row r="39" spans="1:22" x14ac:dyDescent="0.2">
      <c r="A39" t="str">
        <f>'9.7.0.18'!$H35</f>
        <v>mg-mp-mg-tst-TA-Scenarioset0-v20.xml</v>
      </c>
      <c r="B39" s="5">
        <f>'9.7.0.18'!$C35</f>
        <v>38642</v>
      </c>
      <c r="C39" s="1">
        <f>'9.7.0.18'!$E35</f>
        <v>61.811366</v>
      </c>
      <c r="D39" s="1">
        <f>'9.7.0.18'!$G35</f>
        <v>19.244610000000002</v>
      </c>
      <c r="E39" s="3">
        <f t="shared" si="4"/>
        <v>81.055976000000001</v>
      </c>
      <c r="F39" s="3" t="str">
        <f>IF(E39=$T39,"L",IF(E39=$U39,"H",""))</f>
        <v/>
      </c>
      <c r="G39" s="1">
        <f>'9.8.0.15'!$E35</f>
        <v>63.606631</v>
      </c>
      <c r="H39" s="1">
        <f>'9.8.0.15'!$G35</f>
        <v>18.712942000000002</v>
      </c>
      <c r="I39" s="3">
        <f t="shared" si="5"/>
        <v>82.319573000000005</v>
      </c>
      <c r="J39" s="3" t="str">
        <f t="shared" si="6"/>
        <v>H</v>
      </c>
      <c r="K39" s="1">
        <f>'9.9.1.8'!$E35</f>
        <v>60.250216999999999</v>
      </c>
      <c r="L39" s="1">
        <f>'9.9.1.8'!$G35</f>
        <v>15.825599</v>
      </c>
      <c r="M39" s="3">
        <f t="shared" si="7"/>
        <v>76.075816000000003</v>
      </c>
      <c r="N39" s="3" t="str">
        <f t="shared" si="8"/>
        <v>L</v>
      </c>
      <c r="O39" s="1">
        <f>'11.4'!$E35</f>
        <v>60.525717999999998</v>
      </c>
      <c r="P39" s="1">
        <f>'11.4'!$G35</f>
        <v>16.917570999999999</v>
      </c>
      <c r="Q39" s="3">
        <f t="shared" si="9"/>
        <v>77.443288999999993</v>
      </c>
      <c r="R39" s="3" t="str">
        <f t="shared" si="10"/>
        <v/>
      </c>
      <c r="T39" s="1">
        <f>MIN($E39,$I39,$M39,$Q39)</f>
        <v>76.075816000000003</v>
      </c>
      <c r="U39" s="1">
        <f>MAX($E39,$I39,$M39,$Q39)</f>
        <v>82.319573000000005</v>
      </c>
      <c r="V39" s="1">
        <f>AVERAGE($E39,$I39,$M39,$Q39)</f>
        <v>79.223663500000001</v>
      </c>
    </row>
    <row r="40" spans="1:22" x14ac:dyDescent="0.2">
      <c r="A40" t="str">
        <f>'9.7.0.18'!$H36</f>
        <v>mg-mp-mg-tst-TA-Scenarioset1-v20.xml</v>
      </c>
      <c r="B40" s="5">
        <f>'9.7.0.18'!$C36</f>
        <v>33562</v>
      </c>
      <c r="C40" s="1">
        <f>'9.7.0.18'!$E36</f>
        <v>53.521872000000002</v>
      </c>
      <c r="D40" s="1">
        <f>'9.7.0.18'!$G36</f>
        <v>15.507472999999999</v>
      </c>
      <c r="E40" s="3">
        <f t="shared" si="4"/>
        <v>69.029345000000006</v>
      </c>
      <c r="F40" s="3" t="str">
        <f>IF(E40=$T40,"L",IF(E40=$U40,"H",""))</f>
        <v/>
      </c>
      <c r="G40" s="1">
        <f>'9.8.0.15'!$E36</f>
        <v>58.140917000000002</v>
      </c>
      <c r="H40" s="1">
        <f>'9.8.0.15'!$G36</f>
        <v>15.872178999999999</v>
      </c>
      <c r="I40" s="3">
        <f t="shared" si="5"/>
        <v>74.013096000000004</v>
      </c>
      <c r="J40" s="3" t="str">
        <f t="shared" si="6"/>
        <v>H</v>
      </c>
      <c r="K40" s="1">
        <f>'9.9.1.8'!$E36</f>
        <v>50.125107999999997</v>
      </c>
      <c r="L40" s="1">
        <f>'9.9.1.8'!$G36</f>
        <v>15.219704999999999</v>
      </c>
      <c r="M40" s="3">
        <f t="shared" si="7"/>
        <v>65.344813000000002</v>
      </c>
      <c r="N40" s="3" t="str">
        <f t="shared" si="8"/>
        <v>L</v>
      </c>
      <c r="O40" s="1">
        <f>'11.4'!$E36</f>
        <v>52.552218000000003</v>
      </c>
      <c r="P40" s="1">
        <f>'11.4'!$G36</f>
        <v>13.849885</v>
      </c>
      <c r="Q40" s="3">
        <f t="shared" si="9"/>
        <v>66.402103000000011</v>
      </c>
      <c r="R40" s="3" t="str">
        <f t="shared" si="10"/>
        <v/>
      </c>
      <c r="T40" s="1">
        <f>MIN($E40,$I40,$M40,$Q40)</f>
        <v>65.344813000000002</v>
      </c>
      <c r="U40" s="1">
        <f>MAX($E40,$I40,$M40,$Q40)</f>
        <v>74.013096000000004</v>
      </c>
      <c r="V40" s="1">
        <f>AVERAGE($E40,$I40,$M40,$Q40)</f>
        <v>68.697339249999999</v>
      </c>
    </row>
    <row r="41" spans="1:22" x14ac:dyDescent="0.2">
      <c r="A41" t="str">
        <f>'9.7.0.18'!$H37</f>
        <v>mg-mp-mg-tst-TA-Scenarioset10-v20.xml</v>
      </c>
      <c r="B41" s="5">
        <f>'9.7.0.18'!$C37</f>
        <v>9092</v>
      </c>
      <c r="C41" s="1">
        <f>'9.7.0.18'!$E37</f>
        <v>19.814409000000001</v>
      </c>
      <c r="D41" s="1">
        <f>'9.7.0.18'!$G37</f>
        <v>8.755649</v>
      </c>
      <c r="E41" s="3">
        <f t="shared" si="4"/>
        <v>28.570058000000003</v>
      </c>
      <c r="F41" s="3" t="str">
        <f>IF(E41=$T41,"L",IF(E41=$U41,"H",""))</f>
        <v>L</v>
      </c>
      <c r="G41" s="1">
        <f>'9.8.0.15'!$E37</f>
        <v>25.412744</v>
      </c>
      <c r="H41" s="1">
        <f>'9.8.0.15'!$G37</f>
        <v>7.9523580000000003</v>
      </c>
      <c r="I41" s="3">
        <f t="shared" si="5"/>
        <v>33.365102</v>
      </c>
      <c r="J41" s="3" t="str">
        <f t="shared" si="6"/>
        <v>H</v>
      </c>
      <c r="K41" s="1">
        <f>'9.9.1.8'!$E37</f>
        <v>25.060843999999999</v>
      </c>
      <c r="L41" s="1">
        <f>'9.9.1.8'!$G37</f>
        <v>7.4809729999999997</v>
      </c>
      <c r="M41" s="3">
        <f t="shared" si="7"/>
        <v>32.541817000000002</v>
      </c>
      <c r="N41" s="3" t="str">
        <f t="shared" si="8"/>
        <v/>
      </c>
      <c r="O41" s="1">
        <f>'11.4'!$E37</f>
        <v>24.503855999999999</v>
      </c>
      <c r="P41" s="1">
        <f>'11.4'!$G37</f>
        <v>7.3644309999999997</v>
      </c>
      <c r="Q41" s="3">
        <f t="shared" si="9"/>
        <v>31.868286999999999</v>
      </c>
      <c r="R41" s="3" t="str">
        <f t="shared" si="10"/>
        <v/>
      </c>
      <c r="T41" s="1">
        <f>MIN($E41,$I41,$M41,$Q41)</f>
        <v>28.570058000000003</v>
      </c>
      <c r="U41" s="1">
        <f>MAX($E41,$I41,$M41,$Q41)</f>
        <v>33.365102</v>
      </c>
      <c r="V41" s="1">
        <f>AVERAGE($E41,$I41,$M41,$Q41)</f>
        <v>31.586316</v>
      </c>
    </row>
    <row r="42" spans="1:22" x14ac:dyDescent="0.2">
      <c r="A42" t="str">
        <f>'9.7.0.18'!$H38</f>
        <v>mg-mp-mg-tst-TA-Scenarioset2-v20.xml</v>
      </c>
      <c r="B42" s="5">
        <f>'9.7.0.18'!$C38</f>
        <v>34351</v>
      </c>
      <c r="C42" s="1">
        <f>'9.7.0.18'!$E38</f>
        <v>56.946021999999999</v>
      </c>
      <c r="D42" s="1">
        <f>'9.7.0.18'!$G38</f>
        <v>16.204232000000001</v>
      </c>
      <c r="E42" s="3">
        <f t="shared" si="4"/>
        <v>73.150254000000004</v>
      </c>
      <c r="F42" s="3" t="str">
        <f>IF(E42=$T42,"L",IF(E42=$U42,"H",""))</f>
        <v>H</v>
      </c>
      <c r="G42" s="1">
        <f>'9.8.0.15'!$E38</f>
        <v>52.372405000000001</v>
      </c>
      <c r="H42" s="1">
        <f>'9.8.0.15'!$G38</f>
        <v>17.862166999999999</v>
      </c>
      <c r="I42" s="3">
        <f t="shared" si="5"/>
        <v>70.234572</v>
      </c>
      <c r="J42" s="3" t="str">
        <f t="shared" si="6"/>
        <v/>
      </c>
      <c r="K42" s="1">
        <f>'9.9.1.8'!$E38</f>
        <v>50.143255000000003</v>
      </c>
      <c r="L42" s="1">
        <f>'9.9.1.8'!$G38</f>
        <v>15.441753</v>
      </c>
      <c r="M42" s="3">
        <f t="shared" si="7"/>
        <v>65.585008000000002</v>
      </c>
      <c r="N42" s="3" t="str">
        <f t="shared" si="8"/>
        <v>L</v>
      </c>
      <c r="O42" s="1">
        <f>'11.4'!$E38</f>
        <v>50.342976</v>
      </c>
      <c r="P42" s="1">
        <f>'11.4'!$G38</f>
        <v>15.431986999999999</v>
      </c>
      <c r="Q42" s="3">
        <f t="shared" si="9"/>
        <v>65.774963</v>
      </c>
      <c r="R42" s="3" t="str">
        <f t="shared" si="10"/>
        <v/>
      </c>
      <c r="T42" s="1">
        <f>MIN($E42,$I42,$M42,$Q42)</f>
        <v>65.585008000000002</v>
      </c>
      <c r="U42" s="1">
        <f>MAX($E42,$I42,$M42,$Q42)</f>
        <v>73.150254000000004</v>
      </c>
      <c r="V42" s="1">
        <f>AVERAGE($E42,$I42,$M42,$Q42)</f>
        <v>68.686199250000001</v>
      </c>
    </row>
    <row r="43" spans="1:22" x14ac:dyDescent="0.2">
      <c r="A43" t="str">
        <f>'9.7.0.18'!$H39</f>
        <v>mg-mp-mg-tst-TA-Scenarioset3-v20.xml</v>
      </c>
      <c r="B43" s="5">
        <f>'9.7.0.18'!$C39</f>
        <v>76513</v>
      </c>
      <c r="C43" s="1">
        <f>'9.7.0.18'!$E39</f>
        <v>107.51818799999999</v>
      </c>
      <c r="D43" s="1">
        <f>'9.7.0.18'!$G39</f>
        <v>27.897065999999999</v>
      </c>
      <c r="E43" s="3">
        <f t="shared" si="4"/>
        <v>135.415254</v>
      </c>
      <c r="F43" s="3" t="str">
        <f>IF(E43=$T43,"L",IF(E43=$U43,"H",""))</f>
        <v/>
      </c>
      <c r="G43" s="1">
        <f>'9.8.0.15'!$E39</f>
        <v>97.795715000000001</v>
      </c>
      <c r="H43" s="1">
        <f>'9.8.0.15'!$G39</f>
        <v>28.813455999999999</v>
      </c>
      <c r="I43" s="3">
        <f t="shared" si="5"/>
        <v>126.609171</v>
      </c>
      <c r="J43" s="3" t="str">
        <f t="shared" si="6"/>
        <v/>
      </c>
      <c r="K43" s="1">
        <f>'9.9.1.8'!$E39</f>
        <v>110.421193</v>
      </c>
      <c r="L43" s="1">
        <f>'9.9.1.8'!$G39</f>
        <v>25.203665000000001</v>
      </c>
      <c r="M43" s="3">
        <f t="shared" si="7"/>
        <v>135.62485800000002</v>
      </c>
      <c r="N43" s="3" t="str">
        <f t="shared" si="8"/>
        <v>H</v>
      </c>
      <c r="O43" s="1">
        <f>'11.4'!$E39</f>
        <v>91.526188000000005</v>
      </c>
      <c r="P43" s="1">
        <f>'11.4'!$G39</f>
        <v>24.159614000000001</v>
      </c>
      <c r="Q43" s="3">
        <f t="shared" si="9"/>
        <v>115.68580200000001</v>
      </c>
      <c r="R43" s="3" t="str">
        <f t="shared" si="10"/>
        <v>L</v>
      </c>
      <c r="T43" s="1">
        <f>MIN($E43,$I43,$M43,$Q43)</f>
        <v>115.68580200000001</v>
      </c>
      <c r="U43" s="1">
        <f>MAX($E43,$I43,$M43,$Q43)</f>
        <v>135.62485800000002</v>
      </c>
      <c r="V43" s="1">
        <f>AVERAGE($E43,$I43,$M43,$Q43)</f>
        <v>128.33377125000001</v>
      </c>
    </row>
    <row r="44" spans="1:22" x14ac:dyDescent="0.2">
      <c r="A44" t="str">
        <f>'9.7.0.18'!$H40</f>
        <v>mg-mp-mg-tst-TA-Scenarioset6-v20.xml</v>
      </c>
      <c r="B44" s="5">
        <f>'9.7.0.18'!$C40</f>
        <v>107890</v>
      </c>
      <c r="C44" s="1">
        <f>'9.7.0.18'!$E40</f>
        <v>136.39844299999999</v>
      </c>
      <c r="D44" s="1">
        <f>'9.7.0.18'!$G40</f>
        <v>31.528724</v>
      </c>
      <c r="E44" s="3">
        <f t="shared" si="4"/>
        <v>167.927167</v>
      </c>
      <c r="F44" s="3" t="str">
        <f>IF(E44=$T44,"L",IF(E44=$U44,"H",""))</f>
        <v>L</v>
      </c>
      <c r="G44" s="1">
        <f>'9.8.0.15'!$E40</f>
        <v>153.14441600000001</v>
      </c>
      <c r="H44" s="1">
        <f>'9.8.0.15'!$G40</f>
        <v>33.179747999999996</v>
      </c>
      <c r="I44" s="3">
        <f t="shared" si="5"/>
        <v>186.324164</v>
      </c>
      <c r="J44" s="3" t="str">
        <f t="shared" si="6"/>
        <v>H</v>
      </c>
      <c r="K44" s="1">
        <f>'9.9.1.8'!$E40</f>
        <v>146.873513</v>
      </c>
      <c r="L44" s="1">
        <f>'9.9.1.8'!$G40</f>
        <v>35.640459</v>
      </c>
      <c r="M44" s="3">
        <f t="shared" si="7"/>
        <v>182.513972</v>
      </c>
      <c r="N44" s="3" t="str">
        <f t="shared" si="8"/>
        <v/>
      </c>
      <c r="O44" s="1">
        <f>'11.4'!$E40</f>
        <v>147.40903</v>
      </c>
      <c r="P44" s="1">
        <f>'11.4'!$G40</f>
        <v>32.554119</v>
      </c>
      <c r="Q44" s="3">
        <f t="shared" si="9"/>
        <v>179.96314899999999</v>
      </c>
      <c r="R44" s="3" t="str">
        <f t="shared" si="10"/>
        <v/>
      </c>
      <c r="T44" s="1">
        <f>MIN($E44,$I44,$M44,$Q44)</f>
        <v>167.927167</v>
      </c>
      <c r="U44" s="1">
        <f>MAX($E44,$I44,$M44,$Q44)</f>
        <v>186.324164</v>
      </c>
      <c r="V44" s="1">
        <f>AVERAGE($E44,$I44,$M44,$Q44)</f>
        <v>179.18211300000002</v>
      </c>
    </row>
    <row r="45" spans="1:22" x14ac:dyDescent="0.2">
      <c r="A45" t="str">
        <f>'9.7.0.18'!$H41</f>
        <v>mg-mp-mg-tst-TA-Scenarioset7-v20.xml</v>
      </c>
      <c r="B45" s="5">
        <f>'9.7.0.18'!$C41</f>
        <v>25498</v>
      </c>
      <c r="C45" s="1">
        <f>'9.7.0.18'!$E41</f>
        <v>46.887613000000002</v>
      </c>
      <c r="D45" s="1">
        <f>'9.7.0.18'!$G41</f>
        <v>11.985697</v>
      </c>
      <c r="E45" s="3">
        <f t="shared" si="4"/>
        <v>58.873310000000004</v>
      </c>
      <c r="F45" s="3" t="str">
        <f>IF(E45=$T45,"L",IF(E45=$U45,"H",""))</f>
        <v/>
      </c>
      <c r="G45" s="1">
        <f>'9.8.0.15'!$E41</f>
        <v>53.369795000000003</v>
      </c>
      <c r="H45" s="1">
        <f>'9.8.0.15'!$G41</f>
        <v>16.008699</v>
      </c>
      <c r="I45" s="3">
        <f t="shared" si="5"/>
        <v>69.378494000000003</v>
      </c>
      <c r="J45" s="3" t="str">
        <f t="shared" si="6"/>
        <v>H</v>
      </c>
      <c r="K45" s="1">
        <f>'9.9.1.8'!$E41</f>
        <v>34.464680999999999</v>
      </c>
      <c r="L45" s="1">
        <f>'9.9.1.8'!$G41</f>
        <v>12.016942</v>
      </c>
      <c r="M45" s="3">
        <f t="shared" si="7"/>
        <v>46.481622999999999</v>
      </c>
      <c r="N45" s="3" t="str">
        <f t="shared" si="8"/>
        <v>L</v>
      </c>
      <c r="O45" s="1">
        <f>'11.4'!$E41</f>
        <v>36.726332999999997</v>
      </c>
      <c r="P45" s="1">
        <f>'11.4'!$G41</f>
        <v>12.792939000000001</v>
      </c>
      <c r="Q45" s="3">
        <f t="shared" si="9"/>
        <v>49.519272000000001</v>
      </c>
      <c r="R45" s="3" t="str">
        <f t="shared" si="10"/>
        <v/>
      </c>
      <c r="T45" s="1">
        <f>MIN($E45,$I45,$M45,$Q45)</f>
        <v>46.481622999999999</v>
      </c>
      <c r="U45" s="1">
        <f>MAX($E45,$I45,$M45,$Q45)</f>
        <v>69.378494000000003</v>
      </c>
      <c r="V45" s="1">
        <f>AVERAGE($E45,$I45,$M45,$Q45)</f>
        <v>56.063174750000002</v>
      </c>
    </row>
    <row r="46" spans="1:22" x14ac:dyDescent="0.2">
      <c r="A46" t="str">
        <f>'9.7.0.18'!$H42</f>
        <v>mg-mp-mg-tst-VV-Scenarioset0-v20.xml</v>
      </c>
      <c r="B46" s="5">
        <f>'9.7.0.18'!$C42</f>
        <v>35604</v>
      </c>
      <c r="C46" s="1">
        <f>'9.7.0.18'!$E42</f>
        <v>72.130675999999994</v>
      </c>
      <c r="D46" s="1">
        <f>'9.7.0.18'!$G42</f>
        <v>17.387979000000001</v>
      </c>
      <c r="E46" s="3">
        <f t="shared" si="4"/>
        <v>89.518654999999995</v>
      </c>
      <c r="F46" s="3" t="str">
        <f>IF(E46=$T46,"L",IF(E46=$U46,"H",""))</f>
        <v/>
      </c>
      <c r="G46" s="1">
        <f>'9.8.0.15'!$E42</f>
        <v>79.953536999999997</v>
      </c>
      <c r="H46" s="1">
        <f>'9.8.0.15'!$G42</f>
        <v>15.371759000000001</v>
      </c>
      <c r="I46" s="3">
        <f t="shared" si="5"/>
        <v>95.325295999999994</v>
      </c>
      <c r="J46" s="3" t="str">
        <f t="shared" si="6"/>
        <v>H</v>
      </c>
      <c r="K46" s="1">
        <f>'9.9.1.8'!$E42</f>
        <v>72.189752999999996</v>
      </c>
      <c r="L46" s="1">
        <f>'9.9.1.8'!$G42</f>
        <v>15.770381</v>
      </c>
      <c r="M46" s="3">
        <f t="shared" si="7"/>
        <v>87.960133999999996</v>
      </c>
      <c r="N46" s="3" t="str">
        <f t="shared" si="8"/>
        <v>L</v>
      </c>
      <c r="O46" s="1">
        <f>'11.4'!$E42</f>
        <v>76.081793000000005</v>
      </c>
      <c r="P46" s="1">
        <f>'11.4'!$G42</f>
        <v>13.321265</v>
      </c>
      <c r="Q46" s="3">
        <f t="shared" si="9"/>
        <v>89.403058000000001</v>
      </c>
      <c r="R46" s="3" t="str">
        <f t="shared" si="10"/>
        <v/>
      </c>
      <c r="T46" s="1">
        <f>MIN($E46,$I46,$M46,$Q46)</f>
        <v>87.960133999999996</v>
      </c>
      <c r="U46" s="1">
        <f>MAX($E46,$I46,$M46,$Q46)</f>
        <v>95.325295999999994</v>
      </c>
      <c r="V46" s="1">
        <f>AVERAGE($E46,$I46,$M46,$Q46)</f>
        <v>90.551785749999993</v>
      </c>
    </row>
    <row r="47" spans="1:22" x14ac:dyDescent="0.2">
      <c r="A47" t="str">
        <f>'9.7.0.18'!$H43</f>
        <v>mg-mp-mg-tst-VV-Scenarioset1-v20.xml</v>
      </c>
      <c r="B47" s="5">
        <f>'9.7.0.18'!$C43</f>
        <v>15987</v>
      </c>
      <c r="C47" s="1">
        <f>'9.7.0.18'!$E43</f>
        <v>37.988725000000002</v>
      </c>
      <c r="D47" s="1">
        <f>'9.7.0.18'!$G43</f>
        <v>8.105893</v>
      </c>
      <c r="E47" s="3">
        <f t="shared" si="4"/>
        <v>46.094618000000004</v>
      </c>
      <c r="F47" s="3" t="str">
        <f>IF(E47=$T47,"L",IF(E47=$U47,"H",""))</f>
        <v/>
      </c>
      <c r="G47" s="1">
        <f>'9.8.0.15'!$E43</f>
        <v>41.749502999999997</v>
      </c>
      <c r="H47" s="1">
        <f>'9.8.0.15'!$G43</f>
        <v>8.8782479999999993</v>
      </c>
      <c r="I47" s="3">
        <f t="shared" si="5"/>
        <v>50.627750999999996</v>
      </c>
      <c r="J47" s="3" t="str">
        <f t="shared" si="6"/>
        <v>H</v>
      </c>
      <c r="K47" s="1">
        <f>'9.9.1.8'!$E43</f>
        <v>39.717301999999997</v>
      </c>
      <c r="L47" s="1">
        <f>'9.9.1.8'!$G43</f>
        <v>8.9529169999999993</v>
      </c>
      <c r="M47" s="3">
        <f t="shared" si="7"/>
        <v>48.670218999999996</v>
      </c>
      <c r="N47" s="3" t="str">
        <f t="shared" si="8"/>
        <v/>
      </c>
      <c r="O47" s="1">
        <f>'11.4'!$E43</f>
        <v>37.897120000000001</v>
      </c>
      <c r="P47" s="1">
        <f>'11.4'!$G43</f>
        <v>8.0491969999999995</v>
      </c>
      <c r="Q47" s="3">
        <f t="shared" si="9"/>
        <v>45.946317000000001</v>
      </c>
      <c r="R47" s="3" t="str">
        <f t="shared" si="10"/>
        <v>L</v>
      </c>
      <c r="T47" s="1">
        <f>MIN($E47,$I47,$M47,$Q47)</f>
        <v>45.946317000000001</v>
      </c>
      <c r="U47" s="1">
        <f>MAX($E47,$I47,$M47,$Q47)</f>
        <v>50.627750999999996</v>
      </c>
      <c r="V47" s="1">
        <f>AVERAGE($E47,$I47,$M47,$Q47)</f>
        <v>47.834726249999996</v>
      </c>
    </row>
    <row r="48" spans="1:22" x14ac:dyDescent="0.2">
      <c r="A48" t="str">
        <f>'9.7.0.18'!$H44</f>
        <v>mg-mp-mg-tst-VV-Scenarioset10-v20.xml</v>
      </c>
      <c r="B48" s="5">
        <f>'9.7.0.18'!$C44</f>
        <v>17704</v>
      </c>
      <c r="C48" s="1">
        <f>'9.7.0.18'!$E44</f>
        <v>38.995483</v>
      </c>
      <c r="D48" s="1">
        <f>'9.7.0.18'!$G44</f>
        <v>8.1124340000000004</v>
      </c>
      <c r="E48" s="3">
        <f t="shared" si="4"/>
        <v>47.107917</v>
      </c>
      <c r="F48" s="3" t="str">
        <f>IF(E48=$T48,"L",IF(E48=$U48,"H",""))</f>
        <v>L</v>
      </c>
      <c r="G48" s="1">
        <f>'9.8.0.15'!$E44</f>
        <v>66.367828000000003</v>
      </c>
      <c r="H48" s="1">
        <f>'9.8.0.15'!$G44</f>
        <v>12.57108</v>
      </c>
      <c r="I48" s="3">
        <f t="shared" si="5"/>
        <v>78.938907999999998</v>
      </c>
      <c r="J48" s="3" t="str">
        <f t="shared" si="6"/>
        <v>H</v>
      </c>
      <c r="K48" s="1">
        <f>'9.9.1.8'!$E44</f>
        <v>41.910936999999997</v>
      </c>
      <c r="L48" s="1">
        <f>'9.9.1.8'!$G44</f>
        <v>8.6081040000000009</v>
      </c>
      <c r="M48" s="3">
        <f t="shared" si="7"/>
        <v>50.519041000000001</v>
      </c>
      <c r="N48" s="3" t="str">
        <f t="shared" si="8"/>
        <v/>
      </c>
      <c r="O48" s="1">
        <f>'11.4'!$E44</f>
        <v>40.428379999999997</v>
      </c>
      <c r="P48" s="1">
        <f>'11.4'!$G44</f>
        <v>8.348789</v>
      </c>
      <c r="Q48" s="3">
        <f t="shared" si="9"/>
        <v>48.777169000000001</v>
      </c>
      <c r="R48" s="3" t="str">
        <f t="shared" si="10"/>
        <v/>
      </c>
      <c r="T48" s="1">
        <f>MIN($E48,$I48,$M48,$Q48)</f>
        <v>47.107917</v>
      </c>
      <c r="U48" s="1">
        <f>MAX($E48,$I48,$M48,$Q48)</f>
        <v>78.938907999999998</v>
      </c>
      <c r="V48" s="1">
        <f>AVERAGE($E48,$I48,$M48,$Q48)</f>
        <v>56.335758749999997</v>
      </c>
    </row>
    <row r="49" spans="1:22" x14ac:dyDescent="0.2">
      <c r="A49" t="str">
        <f>'9.7.0.18'!$H45</f>
        <v>mg-mp-mg-tst-VV-Scenarioset2-v20.xml</v>
      </c>
      <c r="B49" s="5">
        <f>'9.7.0.18'!$C45</f>
        <v>17590</v>
      </c>
      <c r="C49" s="1">
        <f>'9.7.0.18'!$E45</f>
        <v>41.479579999999999</v>
      </c>
      <c r="D49" s="1">
        <f>'9.7.0.18'!$G45</f>
        <v>8.5516220000000001</v>
      </c>
      <c r="E49" s="3">
        <f t="shared" si="4"/>
        <v>50.031202</v>
      </c>
      <c r="F49" s="3" t="str">
        <f>IF(E49=$T49,"L",IF(E49=$U49,"H",""))</f>
        <v/>
      </c>
      <c r="G49" s="1">
        <f>'9.8.0.15'!$E45</f>
        <v>67.557039000000003</v>
      </c>
      <c r="H49" s="1">
        <f>'9.8.0.15'!$G45</f>
        <v>10.113322</v>
      </c>
      <c r="I49" s="3">
        <f t="shared" si="5"/>
        <v>77.670361</v>
      </c>
      <c r="J49" s="3" t="str">
        <f t="shared" si="6"/>
        <v>H</v>
      </c>
      <c r="K49" s="1">
        <f>'9.9.1.8'!$E45</f>
        <v>39.833601000000002</v>
      </c>
      <c r="L49" s="1">
        <f>'9.9.1.8'!$G45</f>
        <v>8.4125960000000006</v>
      </c>
      <c r="M49" s="3">
        <f t="shared" si="7"/>
        <v>48.246197000000002</v>
      </c>
      <c r="N49" s="3" t="str">
        <f t="shared" si="8"/>
        <v/>
      </c>
      <c r="O49" s="1">
        <f>'11.4'!$E45</f>
        <v>39.909269000000002</v>
      </c>
      <c r="P49" s="1">
        <f>'11.4'!$G45</f>
        <v>8.0197669999999999</v>
      </c>
      <c r="Q49" s="3">
        <f t="shared" si="9"/>
        <v>47.929036000000004</v>
      </c>
      <c r="R49" s="3" t="str">
        <f t="shared" si="10"/>
        <v>L</v>
      </c>
      <c r="T49" s="1">
        <f>MIN($E49,$I49,$M49,$Q49)</f>
        <v>47.929036000000004</v>
      </c>
      <c r="U49" s="1">
        <f>MAX($E49,$I49,$M49,$Q49)</f>
        <v>77.670361</v>
      </c>
      <c r="V49" s="1">
        <f>AVERAGE($E49,$I49,$M49,$Q49)</f>
        <v>55.969198999999996</v>
      </c>
    </row>
    <row r="50" spans="1:22" x14ac:dyDescent="0.2">
      <c r="A50" t="str">
        <f>'9.7.0.18'!$H46</f>
        <v>mg-mp-mg-tst-VV-Scenarioset7-v20.xml</v>
      </c>
      <c r="B50" s="5">
        <f>'9.7.0.18'!$C46</f>
        <v>29173</v>
      </c>
      <c r="C50" s="1">
        <f>'9.7.0.18'!$E46</f>
        <v>53.565455</v>
      </c>
      <c r="D50" s="1">
        <f>'9.7.0.18'!$G46</f>
        <v>11.323328999999999</v>
      </c>
      <c r="E50" s="3">
        <f t="shared" si="4"/>
        <v>64.888784000000001</v>
      </c>
      <c r="F50" s="3" t="str">
        <f>IF(E50=$T50,"L",IF(E50=$U50,"H",""))</f>
        <v/>
      </c>
      <c r="G50" s="1">
        <f>'9.8.0.15'!$E46</f>
        <v>63.214103999999999</v>
      </c>
      <c r="H50" s="1">
        <f>'9.8.0.15'!$G46</f>
        <v>13.106526000000001</v>
      </c>
      <c r="I50" s="3">
        <f t="shared" si="5"/>
        <v>76.320629999999994</v>
      </c>
      <c r="J50" s="3" t="str">
        <f t="shared" si="6"/>
        <v>H</v>
      </c>
      <c r="K50" s="1">
        <f>'9.9.1.8'!$E46</f>
        <v>49.444191000000004</v>
      </c>
      <c r="L50" s="1">
        <f>'9.9.1.8'!$G46</f>
        <v>11.178224</v>
      </c>
      <c r="M50" s="3">
        <f t="shared" si="7"/>
        <v>60.622415000000004</v>
      </c>
      <c r="N50" s="3" t="str">
        <f t="shared" si="8"/>
        <v/>
      </c>
      <c r="O50" s="1">
        <f>'11.4'!$E46</f>
        <v>48.590890000000002</v>
      </c>
      <c r="P50" s="1">
        <f>'11.4'!$G46</f>
        <v>10.88269</v>
      </c>
      <c r="Q50" s="3">
        <f t="shared" si="9"/>
        <v>59.473579999999998</v>
      </c>
      <c r="R50" s="3" t="str">
        <f t="shared" si="10"/>
        <v>L</v>
      </c>
      <c r="T50" s="1">
        <f>MIN($E50,$I50,$M50,$Q50)</f>
        <v>59.473579999999998</v>
      </c>
      <c r="U50" s="1">
        <f>MAX($E50,$I50,$M50,$Q50)</f>
        <v>76.320629999999994</v>
      </c>
      <c r="V50" s="1">
        <f>AVERAGE($E50,$I50,$M50,$Q50)</f>
        <v>65.326352249999985</v>
      </c>
    </row>
    <row r="51" spans="1:22" x14ac:dyDescent="0.2">
      <c r="A51" t="str">
        <f>'9.7.0.18'!$H47</f>
        <v>mg-mp-mg-tst-VV-Scenarioset9-v20.xml</v>
      </c>
      <c r="B51" s="5">
        <f>'9.7.0.18'!$C47</f>
        <v>36406</v>
      </c>
      <c r="C51" s="1">
        <f>'9.7.0.18'!$E47</f>
        <v>73.758953000000005</v>
      </c>
      <c r="D51" s="1">
        <f>'9.7.0.18'!$G47</f>
        <v>15.123507999999999</v>
      </c>
      <c r="E51" s="3">
        <f t="shared" si="4"/>
        <v>88.882461000000006</v>
      </c>
      <c r="F51" s="3" t="str">
        <f>IF(E51=$T51,"L",IF(E51=$U51,"H",""))</f>
        <v>L</v>
      </c>
      <c r="G51" s="1">
        <f>'9.8.0.15'!$E47</f>
        <v>83.856427999999994</v>
      </c>
      <c r="H51" s="1">
        <f>'9.8.0.15'!$G47</f>
        <v>16.197108</v>
      </c>
      <c r="I51" s="3">
        <f t="shared" si="5"/>
        <v>100.05353599999999</v>
      </c>
      <c r="J51" s="3" t="str">
        <f t="shared" si="6"/>
        <v/>
      </c>
      <c r="K51" s="1">
        <f>'9.9.1.8'!$E47</f>
        <v>85.947704000000002</v>
      </c>
      <c r="L51" s="1">
        <f>'9.9.1.8'!$G47</f>
        <v>14.736293999999999</v>
      </c>
      <c r="M51" s="3">
        <f t="shared" si="7"/>
        <v>100.683998</v>
      </c>
      <c r="N51" s="3" t="str">
        <f t="shared" si="8"/>
        <v>H</v>
      </c>
      <c r="O51" s="1">
        <f>'11.4'!$E47</f>
        <v>75.372011000000001</v>
      </c>
      <c r="P51" s="1">
        <f>'11.4'!$G47</f>
        <v>14.317804000000001</v>
      </c>
      <c r="Q51" s="3">
        <f t="shared" si="9"/>
        <v>89.689814999999996</v>
      </c>
      <c r="R51" s="3" t="str">
        <f t="shared" si="10"/>
        <v/>
      </c>
      <c r="T51" s="1">
        <f>MIN($E51,$I51,$M51,$Q51)</f>
        <v>88.882461000000006</v>
      </c>
      <c r="U51" s="1">
        <f>MAX($E51,$I51,$M51,$Q51)</f>
        <v>100.683998</v>
      </c>
      <c r="V51" s="1">
        <f>AVERAGE($E51,$I51,$M51,$Q51)</f>
        <v>94.827452500000007</v>
      </c>
    </row>
    <row r="52" spans="1:22" x14ac:dyDescent="0.2">
      <c r="A52" t="str">
        <f>'9.7.0.18'!$H48</f>
        <v>mg-mp-mg-tst-WDS-Scenarioset11-v20.xml</v>
      </c>
      <c r="B52" s="5">
        <f>'9.7.0.18'!$C48</f>
        <v>47927</v>
      </c>
      <c r="C52" s="1">
        <f>'9.7.0.18'!$E48</f>
        <v>54.166141000000003</v>
      </c>
      <c r="D52" s="1">
        <f>'9.7.0.18'!$G48</f>
        <v>24.342113000000001</v>
      </c>
      <c r="E52" s="3">
        <f t="shared" si="4"/>
        <v>78.508254000000008</v>
      </c>
      <c r="F52" s="3" t="str">
        <f>IF(E52=$T52,"L",IF(E52=$U52,"H",""))</f>
        <v/>
      </c>
      <c r="G52" s="1">
        <f>'9.8.0.15'!$E48</f>
        <v>68.344008000000002</v>
      </c>
      <c r="H52" s="1">
        <f>'9.8.0.15'!$G48</f>
        <v>18.526143000000001</v>
      </c>
      <c r="I52" s="3">
        <f t="shared" si="5"/>
        <v>86.870151000000007</v>
      </c>
      <c r="J52" s="3" t="str">
        <f t="shared" si="6"/>
        <v>H</v>
      </c>
      <c r="K52" s="1">
        <f>'9.9.1.8'!$E48</f>
        <v>53.140034</v>
      </c>
      <c r="L52" s="1">
        <f>'9.9.1.8'!$G48</f>
        <v>17.662367</v>
      </c>
      <c r="M52" s="3">
        <f t="shared" si="7"/>
        <v>70.802401000000003</v>
      </c>
      <c r="N52" s="3" t="str">
        <f t="shared" si="8"/>
        <v/>
      </c>
      <c r="O52" s="1">
        <f>'11.4'!$E48</f>
        <v>49.653176999999999</v>
      </c>
      <c r="P52" s="1">
        <f>'11.4'!$G48</f>
        <v>17.325803000000001</v>
      </c>
      <c r="Q52" s="3">
        <f t="shared" si="9"/>
        <v>66.978980000000007</v>
      </c>
      <c r="R52" s="3" t="str">
        <f t="shared" si="10"/>
        <v>L</v>
      </c>
      <c r="T52" s="1">
        <f>MIN($E52,$I52,$M52,$Q52)</f>
        <v>66.978980000000007</v>
      </c>
      <c r="U52" s="1">
        <f>MAX($E52,$I52,$M52,$Q52)</f>
        <v>86.870151000000007</v>
      </c>
      <c r="V52" s="1">
        <f>AVERAGE($E52,$I52,$M52,$Q52)</f>
        <v>75.789946500000013</v>
      </c>
    </row>
    <row r="53" spans="1:22" x14ac:dyDescent="0.2">
      <c r="A53" t="str">
        <f>'9.7.0.18'!$H49</f>
        <v>mg-mp-mg-tst-WDS-Scenarioset13-v20.xml</v>
      </c>
      <c r="B53" s="5">
        <f>'9.7.0.18'!$C49</f>
        <v>15948</v>
      </c>
      <c r="C53" s="1">
        <f>'9.7.0.18'!$E49</f>
        <v>26.178595000000001</v>
      </c>
      <c r="D53" s="1">
        <f>'9.7.0.18'!$G49</f>
        <v>8.4421239999999997</v>
      </c>
      <c r="E53" s="3">
        <f t="shared" si="4"/>
        <v>34.620719000000001</v>
      </c>
      <c r="F53" s="3" t="str">
        <f>IF(E53=$T53,"L",IF(E53=$U53,"H",""))</f>
        <v/>
      </c>
      <c r="G53" s="1">
        <f>'9.8.0.15'!$E49</f>
        <v>28.832227</v>
      </c>
      <c r="H53" s="1">
        <f>'9.8.0.15'!$G49</f>
        <v>9.332535</v>
      </c>
      <c r="I53" s="3">
        <f t="shared" si="5"/>
        <v>38.164761999999996</v>
      </c>
      <c r="J53" s="3" t="str">
        <f t="shared" si="6"/>
        <v>H</v>
      </c>
      <c r="K53" s="1">
        <f>'9.9.1.8'!$E49</f>
        <v>25.24973</v>
      </c>
      <c r="L53" s="1">
        <f>'9.9.1.8'!$G49</f>
        <v>8.028022</v>
      </c>
      <c r="M53" s="3">
        <f t="shared" si="7"/>
        <v>33.277752</v>
      </c>
      <c r="N53" s="3" t="str">
        <f t="shared" si="8"/>
        <v>L</v>
      </c>
      <c r="O53" s="1">
        <f>'11.4'!$E49</f>
        <v>25.223635000000002</v>
      </c>
      <c r="P53" s="1">
        <f>'11.4'!$G49</f>
        <v>8.6466100000000008</v>
      </c>
      <c r="Q53" s="3">
        <f t="shared" si="9"/>
        <v>33.870245000000004</v>
      </c>
      <c r="R53" s="3" t="str">
        <f t="shared" si="10"/>
        <v/>
      </c>
      <c r="T53" s="1">
        <f>MIN($E53,$I53,$M53,$Q53)</f>
        <v>33.277752</v>
      </c>
      <c r="U53" s="1">
        <f>MAX($E53,$I53,$M53,$Q53)</f>
        <v>38.164761999999996</v>
      </c>
      <c r="V53" s="1">
        <f>AVERAGE($E53,$I53,$M53,$Q53)</f>
        <v>34.983369500000002</v>
      </c>
    </row>
    <row r="54" spans="1:22" x14ac:dyDescent="0.2">
      <c r="B54" s="4"/>
    </row>
    <row r="55" spans="1:22" x14ac:dyDescent="0.2">
      <c r="B55" s="4"/>
    </row>
    <row r="56" spans="1:22" x14ac:dyDescent="0.2">
      <c r="A56" t="s">
        <v>93</v>
      </c>
      <c r="B56" s="4" t="str">
        <f>IF(E56=MAX(E56,I56,M56,Q56),C3,IF(I56=MAX(E56,I56,M56,Q56),G3,IF(M56=MAX(E56,I56,M56,Q56),K3,IF(Q56=MAX(E56,I56,M56,Q56),O3,"meerdere versies"))))</f>
        <v>saxon 9.7.0.18</v>
      </c>
      <c r="E56" s="2">
        <f>COUNTIF(F5:F54,"L")</f>
        <v>29</v>
      </c>
      <c r="I56" s="2">
        <f>COUNTIF(J5:J54,"L")</f>
        <v>0</v>
      </c>
      <c r="M56" s="2">
        <f>COUNTIF(N5:N54,"L")</f>
        <v>6</v>
      </c>
      <c r="Q56" s="2">
        <f>COUNTIF(R5:R54,"L")</f>
        <v>14</v>
      </c>
    </row>
    <row r="57" spans="1:22" x14ac:dyDescent="0.2">
      <c r="A57" t="s">
        <v>94</v>
      </c>
      <c r="B57" s="4" t="str">
        <f>IF(E56=MIN(E56,I56,M56,Q56),C3,IF(I56=MIN(E56,I56,M56,Q56),G3,IF(M56=MIN(E56,I56,M56,Q56),K3,IF(Q56=MIN(E56,I56,M56,Q56),O3,"meerdere versies"))))</f>
        <v>saxon 9.8.0.15</v>
      </c>
      <c r="E57" s="2">
        <f>COUNTIF(F5:F54,"H")</f>
        <v>2</v>
      </c>
      <c r="I57" s="2">
        <f>COUNTIF(J5:J54,"H")</f>
        <v>24</v>
      </c>
      <c r="M57" s="2">
        <f>COUNTIF(N5:N54,"H")</f>
        <v>21</v>
      </c>
      <c r="Q57" s="2">
        <f>COUNTIF(R5:R54,"H")</f>
        <v>2</v>
      </c>
    </row>
    <row r="58" spans="1:22" x14ac:dyDescent="0.2">
      <c r="B58" s="4"/>
    </row>
    <row r="59" spans="1:22" x14ac:dyDescent="0.2">
      <c r="A59" t="s">
        <v>60</v>
      </c>
      <c r="E59" s="3">
        <f>AVERAGE(E5:E53)</f>
        <v>83.518544387755099</v>
      </c>
      <c r="I59" s="3">
        <f>AVERAGE(I5:I53)</f>
        <v>98.808405897959219</v>
      </c>
      <c r="M59" s="3">
        <f>AVERAGE(M5:M53)</f>
        <v>95.261532285714281</v>
      </c>
      <c r="Q59" s="3">
        <f>AVERAGE(Q5:Q53)</f>
        <v>89.263781448979557</v>
      </c>
    </row>
    <row r="61" spans="1:22" x14ac:dyDescent="0.2">
      <c r="B61" s="4"/>
    </row>
    <row r="62" spans="1:22" x14ac:dyDescent="0.2">
      <c r="B62" s="4"/>
    </row>
    <row r="63" spans="1:22" x14ac:dyDescent="0.2">
      <c r="B63" s="4"/>
    </row>
  </sheetData>
  <autoFilter ref="A4:V4" xr:uid="{759B4D22-7663-FC41-95B4-410684CE73EE}">
    <sortState xmlns:xlrd2="http://schemas.microsoft.com/office/spreadsheetml/2017/richdata2" ref="A5:V53">
      <sortCondition ref="V4:V53"/>
    </sortState>
  </autoFilter>
  <conditionalFormatting sqref="E5:F53 I5:J53 M5:N53 Q5:R53">
    <cfRule type="expression" dxfId="1" priority="20" stopIfTrue="1">
      <formula>IF(E5=$T5,TRUE,FALSE)</formula>
    </cfRule>
    <cfRule type="expression" dxfId="0" priority="21" stopIfTrue="1">
      <formula>IF(E5=$U5,TRUE,FALSE)</formula>
    </cfRule>
  </conditionalFormatting>
  <conditionalFormatting sqref="V5:V53">
    <cfRule type="colorScale" priority="48">
      <colorScale>
        <cfvo type="min"/>
        <cfvo type="percentile" val="50"/>
        <cfvo type="max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91</v>
      </c>
    </row>
    <row r="2" spans="1:1" x14ac:dyDescent="0.2">
      <c r="A2" s="2"/>
    </row>
    <row r="3" spans="1:1" x14ac:dyDescent="0.2">
      <c r="A3" s="4" t="s">
        <v>83</v>
      </c>
    </row>
    <row r="4" spans="1:1" x14ac:dyDescent="0.2">
      <c r="A4" s="4" t="s">
        <v>90</v>
      </c>
    </row>
    <row r="5" spans="1:1" x14ac:dyDescent="0.2">
      <c r="A5" s="4" t="s">
        <v>78</v>
      </c>
    </row>
    <row r="6" spans="1:1" x14ac:dyDescent="0.2">
      <c r="A6" s="4" t="s">
        <v>79</v>
      </c>
    </row>
    <row r="7" spans="1:1" x14ac:dyDescent="0.2">
      <c r="A7" s="4" t="s">
        <v>80</v>
      </c>
    </row>
    <row r="8" spans="1:1" x14ac:dyDescent="0.2">
      <c r="A8" s="4" t="s">
        <v>63</v>
      </c>
    </row>
    <row r="9" spans="1:1" x14ac:dyDescent="0.2">
      <c r="A9" s="4" t="s">
        <v>81</v>
      </c>
    </row>
    <row r="10" spans="1:1" x14ac:dyDescent="0.2">
      <c r="A10" s="4" t="s">
        <v>82</v>
      </c>
    </row>
    <row r="11" spans="1:1" x14ac:dyDescent="0.2">
      <c r="A11" s="4" t="s">
        <v>64</v>
      </c>
    </row>
    <row r="12" spans="1:1" x14ac:dyDescent="0.2">
      <c r="A12" s="4" t="s">
        <v>65</v>
      </c>
    </row>
    <row r="13" spans="1:1" x14ac:dyDescent="0.2">
      <c r="A13" s="4" t="s">
        <v>85</v>
      </c>
    </row>
    <row r="14" spans="1:1" x14ac:dyDescent="0.2">
      <c r="A14" s="4" t="s">
        <v>66</v>
      </c>
    </row>
    <row r="15" spans="1:1" x14ac:dyDescent="0.2">
      <c r="A15" s="4" t="s">
        <v>67</v>
      </c>
    </row>
    <row r="16" spans="1:1" x14ac:dyDescent="0.2">
      <c r="A16" s="4" t="s">
        <v>68</v>
      </c>
    </row>
    <row r="17" spans="1:1" x14ac:dyDescent="0.2">
      <c r="A17" s="4" t="s">
        <v>69</v>
      </c>
    </row>
    <row r="19" spans="1:1" ht="21" x14ac:dyDescent="0.25">
      <c r="A19" s="6" t="s">
        <v>92</v>
      </c>
    </row>
    <row r="20" spans="1:1" x14ac:dyDescent="0.2">
      <c r="A20" s="4" t="s">
        <v>86</v>
      </c>
    </row>
    <row r="21" spans="1:1" x14ac:dyDescent="0.2">
      <c r="A21" s="4" t="s">
        <v>87</v>
      </c>
    </row>
    <row r="22" spans="1:1" x14ac:dyDescent="0.2">
      <c r="A22" s="4" t="s">
        <v>88</v>
      </c>
    </row>
    <row r="23" spans="1:1" x14ac:dyDescent="0.2">
      <c r="A23" s="4" t="s"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49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70</v>
      </c>
      <c r="B1" t="s">
        <v>71</v>
      </c>
      <c r="C1">
        <v>115449</v>
      </c>
      <c r="D1" t="s">
        <v>0</v>
      </c>
      <c r="E1">
        <v>208.046874</v>
      </c>
      <c r="F1" t="s">
        <v>1</v>
      </c>
      <c r="G1">
        <v>33.406725999999999</v>
      </c>
      <c r="H1" t="s">
        <v>2</v>
      </c>
      <c r="I1" t="s">
        <v>3</v>
      </c>
      <c r="J1" t="s">
        <v>4</v>
      </c>
    </row>
    <row r="2" spans="1:10" x14ac:dyDescent="0.2">
      <c r="A2" t="s">
        <v>70</v>
      </c>
      <c r="B2" t="s">
        <v>71</v>
      </c>
      <c r="C2">
        <v>79011</v>
      </c>
      <c r="D2" t="s">
        <v>0</v>
      </c>
      <c r="E2">
        <v>115.504465</v>
      </c>
      <c r="F2" t="s">
        <v>1</v>
      </c>
      <c r="G2">
        <v>22.749901999999999</v>
      </c>
      <c r="H2" t="s">
        <v>5</v>
      </c>
      <c r="I2" t="s">
        <v>3</v>
      </c>
      <c r="J2" t="s">
        <v>4</v>
      </c>
    </row>
    <row r="3" spans="1:10" x14ac:dyDescent="0.2">
      <c r="A3" t="s">
        <v>70</v>
      </c>
      <c r="B3" t="s">
        <v>71</v>
      </c>
      <c r="C3">
        <v>82837</v>
      </c>
      <c r="D3" t="s">
        <v>0</v>
      </c>
      <c r="E3">
        <v>98.084306999999995</v>
      </c>
      <c r="F3" t="s">
        <v>1</v>
      </c>
      <c r="G3">
        <v>24.759634999999999</v>
      </c>
      <c r="H3" t="s">
        <v>6</v>
      </c>
      <c r="I3" t="s">
        <v>3</v>
      </c>
      <c r="J3" t="s">
        <v>4</v>
      </c>
    </row>
    <row r="4" spans="1:10" x14ac:dyDescent="0.2">
      <c r="A4" t="s">
        <v>70</v>
      </c>
      <c r="B4" t="s">
        <v>71</v>
      </c>
      <c r="C4">
        <v>201241</v>
      </c>
      <c r="D4" t="s">
        <v>0</v>
      </c>
      <c r="E4">
        <v>197.52966599999999</v>
      </c>
      <c r="F4" t="s">
        <v>1</v>
      </c>
      <c r="G4">
        <v>53.934524000000003</v>
      </c>
      <c r="H4" t="s">
        <v>7</v>
      </c>
      <c r="I4" t="s">
        <v>3</v>
      </c>
      <c r="J4" t="s">
        <v>4</v>
      </c>
    </row>
    <row r="5" spans="1:10" x14ac:dyDescent="0.2">
      <c r="A5" t="s">
        <v>70</v>
      </c>
      <c r="B5" t="s">
        <v>71</v>
      </c>
      <c r="C5">
        <v>61516</v>
      </c>
      <c r="D5" t="s">
        <v>0</v>
      </c>
      <c r="E5">
        <v>79.640248999999997</v>
      </c>
      <c r="F5" t="s">
        <v>1</v>
      </c>
      <c r="G5">
        <v>24.295808000000001</v>
      </c>
      <c r="H5" t="s">
        <v>8</v>
      </c>
      <c r="I5" t="s">
        <v>3</v>
      </c>
      <c r="J5" t="s">
        <v>4</v>
      </c>
    </row>
    <row r="6" spans="1:10" x14ac:dyDescent="0.2">
      <c r="A6" t="s">
        <v>70</v>
      </c>
      <c r="B6" t="s">
        <v>71</v>
      </c>
      <c r="C6">
        <v>22354</v>
      </c>
      <c r="D6" t="s">
        <v>0</v>
      </c>
      <c r="E6">
        <v>26.153614999999999</v>
      </c>
      <c r="F6" t="s">
        <v>1</v>
      </c>
      <c r="G6">
        <v>10.916491000000001</v>
      </c>
      <c r="H6" t="s">
        <v>9</v>
      </c>
      <c r="I6" t="s">
        <v>3</v>
      </c>
      <c r="J6" t="s">
        <v>4</v>
      </c>
    </row>
    <row r="7" spans="1:10" x14ac:dyDescent="0.2">
      <c r="A7" t="s">
        <v>70</v>
      </c>
      <c r="B7" t="s">
        <v>71</v>
      </c>
      <c r="C7">
        <v>137712</v>
      </c>
      <c r="D7" t="s">
        <v>0</v>
      </c>
      <c r="E7">
        <v>180.08973499999999</v>
      </c>
      <c r="F7" t="s">
        <v>1</v>
      </c>
      <c r="G7">
        <v>35.483009000000003</v>
      </c>
      <c r="H7" t="s">
        <v>10</v>
      </c>
      <c r="I7" t="s">
        <v>3</v>
      </c>
      <c r="J7" t="s">
        <v>4</v>
      </c>
    </row>
    <row r="8" spans="1:10" x14ac:dyDescent="0.2">
      <c r="A8" t="s">
        <v>70</v>
      </c>
      <c r="B8" t="s">
        <v>71</v>
      </c>
      <c r="C8">
        <v>51566</v>
      </c>
      <c r="D8" t="s">
        <v>0</v>
      </c>
      <c r="E8">
        <v>89.283871000000005</v>
      </c>
      <c r="F8" t="s">
        <v>1</v>
      </c>
      <c r="G8">
        <v>16.835664000000001</v>
      </c>
      <c r="H8" t="s">
        <v>11</v>
      </c>
      <c r="I8" t="s">
        <v>3</v>
      </c>
      <c r="J8" t="s">
        <v>4</v>
      </c>
    </row>
    <row r="9" spans="1:10" x14ac:dyDescent="0.2">
      <c r="A9" t="s">
        <v>70</v>
      </c>
      <c r="B9" t="s">
        <v>71</v>
      </c>
      <c r="C9">
        <v>33986</v>
      </c>
      <c r="D9" t="s">
        <v>0</v>
      </c>
      <c r="E9">
        <v>60.669504000000003</v>
      </c>
      <c r="F9" t="s">
        <v>1</v>
      </c>
      <c r="G9">
        <v>18.630884999999999</v>
      </c>
      <c r="H9" t="s">
        <v>12</v>
      </c>
      <c r="I9" t="s">
        <v>3</v>
      </c>
      <c r="J9" t="s">
        <v>4</v>
      </c>
    </row>
    <row r="10" spans="1:10" x14ac:dyDescent="0.2">
      <c r="A10" t="s">
        <v>70</v>
      </c>
      <c r="B10" t="s">
        <v>71</v>
      </c>
      <c r="C10">
        <v>79706</v>
      </c>
      <c r="D10" t="s">
        <v>0</v>
      </c>
      <c r="E10">
        <v>68.953288999999998</v>
      </c>
      <c r="F10" t="s">
        <v>1</v>
      </c>
      <c r="G10">
        <v>21.475004999999999</v>
      </c>
      <c r="H10" t="s">
        <v>13</v>
      </c>
      <c r="I10" t="s">
        <v>3</v>
      </c>
      <c r="J10" t="s">
        <v>4</v>
      </c>
    </row>
    <row r="11" spans="1:10" x14ac:dyDescent="0.2">
      <c r="A11" t="s">
        <v>70</v>
      </c>
      <c r="B11" t="s">
        <v>71</v>
      </c>
      <c r="C11">
        <v>2082</v>
      </c>
      <c r="D11" t="s">
        <v>0</v>
      </c>
      <c r="E11">
        <v>3.7748439999999999</v>
      </c>
      <c r="F11" t="s">
        <v>1</v>
      </c>
      <c r="G11">
        <v>2.3798919999999999</v>
      </c>
      <c r="H11" t="s">
        <v>14</v>
      </c>
      <c r="I11" t="s">
        <v>3</v>
      </c>
      <c r="J11" t="s">
        <v>4</v>
      </c>
    </row>
    <row r="12" spans="1:10" x14ac:dyDescent="0.2">
      <c r="A12" t="s">
        <v>70</v>
      </c>
      <c r="B12" t="s">
        <v>71</v>
      </c>
      <c r="C12">
        <v>37604</v>
      </c>
      <c r="D12" t="s">
        <v>0</v>
      </c>
      <c r="E12">
        <v>57.504672999999997</v>
      </c>
      <c r="F12" t="s">
        <v>1</v>
      </c>
      <c r="G12">
        <v>23.015668000000002</v>
      </c>
      <c r="H12" t="s">
        <v>15</v>
      </c>
      <c r="I12" t="s">
        <v>3</v>
      </c>
      <c r="J12" t="s">
        <v>4</v>
      </c>
    </row>
    <row r="13" spans="1:10" x14ac:dyDescent="0.2">
      <c r="A13" t="s">
        <v>70</v>
      </c>
      <c r="B13" t="s">
        <v>71</v>
      </c>
      <c r="C13">
        <v>33529</v>
      </c>
      <c r="D13" t="s">
        <v>0</v>
      </c>
      <c r="E13">
        <v>55.485860000000002</v>
      </c>
      <c r="F13" t="s">
        <v>1</v>
      </c>
      <c r="G13">
        <v>17.291637000000001</v>
      </c>
      <c r="H13" t="s">
        <v>16</v>
      </c>
      <c r="I13" t="s">
        <v>3</v>
      </c>
      <c r="J13" t="s">
        <v>4</v>
      </c>
    </row>
    <row r="14" spans="1:10" x14ac:dyDescent="0.2">
      <c r="A14" t="s">
        <v>70</v>
      </c>
      <c r="B14" t="s">
        <v>71</v>
      </c>
      <c r="C14">
        <v>17829</v>
      </c>
      <c r="D14" t="s">
        <v>0</v>
      </c>
      <c r="E14">
        <v>32.607788999999997</v>
      </c>
      <c r="F14" t="s">
        <v>1</v>
      </c>
      <c r="G14">
        <v>10.433344999999999</v>
      </c>
      <c r="H14" t="s">
        <v>17</v>
      </c>
      <c r="I14" t="s">
        <v>3</v>
      </c>
      <c r="J14" t="s">
        <v>4</v>
      </c>
    </row>
    <row r="15" spans="1:10" x14ac:dyDescent="0.2">
      <c r="A15" t="s">
        <v>70</v>
      </c>
      <c r="B15" t="s">
        <v>71</v>
      </c>
      <c r="C15">
        <v>35795</v>
      </c>
      <c r="D15" t="s">
        <v>0</v>
      </c>
      <c r="E15">
        <v>55.111314999999998</v>
      </c>
      <c r="F15" t="s">
        <v>1</v>
      </c>
      <c r="G15">
        <v>17.324265</v>
      </c>
      <c r="H15" t="s">
        <v>18</v>
      </c>
      <c r="I15" t="s">
        <v>3</v>
      </c>
      <c r="J15" t="s">
        <v>4</v>
      </c>
    </row>
    <row r="16" spans="1:10" x14ac:dyDescent="0.2">
      <c r="A16" t="s">
        <v>70</v>
      </c>
      <c r="B16" t="s">
        <v>71</v>
      </c>
      <c r="C16">
        <v>63474</v>
      </c>
      <c r="D16" t="s">
        <v>0</v>
      </c>
      <c r="E16">
        <v>80.624011999999993</v>
      </c>
      <c r="F16" t="s">
        <v>1</v>
      </c>
      <c r="G16">
        <v>24.549499999999998</v>
      </c>
      <c r="H16" t="s">
        <v>19</v>
      </c>
      <c r="I16" t="s">
        <v>3</v>
      </c>
      <c r="J16" t="s">
        <v>4</v>
      </c>
    </row>
    <row r="17" spans="1:10" x14ac:dyDescent="0.2">
      <c r="A17" t="s">
        <v>70</v>
      </c>
      <c r="B17" t="s">
        <v>71</v>
      </c>
      <c r="C17">
        <v>97606</v>
      </c>
      <c r="D17" t="s">
        <v>0</v>
      </c>
      <c r="E17">
        <v>138.468064</v>
      </c>
      <c r="F17" t="s">
        <v>1</v>
      </c>
      <c r="G17">
        <v>31.978750999999999</v>
      </c>
      <c r="H17" t="s">
        <v>20</v>
      </c>
      <c r="I17" t="s">
        <v>3</v>
      </c>
      <c r="J17" t="s">
        <v>4</v>
      </c>
    </row>
    <row r="18" spans="1:10" x14ac:dyDescent="0.2">
      <c r="A18" t="s">
        <v>70</v>
      </c>
      <c r="B18" t="s">
        <v>71</v>
      </c>
      <c r="C18">
        <v>27484</v>
      </c>
      <c r="D18" t="s">
        <v>0</v>
      </c>
      <c r="E18">
        <v>41.833311000000002</v>
      </c>
      <c r="F18" t="s">
        <v>1</v>
      </c>
      <c r="G18">
        <v>13.186959999999999</v>
      </c>
      <c r="H18" t="s">
        <v>21</v>
      </c>
      <c r="I18" t="s">
        <v>3</v>
      </c>
      <c r="J18" t="s">
        <v>4</v>
      </c>
    </row>
    <row r="19" spans="1:10" x14ac:dyDescent="0.2">
      <c r="A19" t="s">
        <v>70</v>
      </c>
      <c r="B19" t="s">
        <v>71</v>
      </c>
      <c r="C19">
        <v>48023</v>
      </c>
      <c r="D19" t="s">
        <v>0</v>
      </c>
      <c r="E19">
        <v>68.423389999999998</v>
      </c>
      <c r="F19" t="s">
        <v>1</v>
      </c>
      <c r="G19">
        <v>22.501920999999999</v>
      </c>
      <c r="H19" t="s">
        <v>22</v>
      </c>
      <c r="I19" t="s">
        <v>3</v>
      </c>
      <c r="J19" t="s">
        <v>4</v>
      </c>
    </row>
    <row r="20" spans="1:10" x14ac:dyDescent="0.2">
      <c r="A20" t="s">
        <v>70</v>
      </c>
      <c r="B20" t="s">
        <v>71</v>
      </c>
      <c r="C20">
        <v>39681</v>
      </c>
      <c r="D20" t="s">
        <v>0</v>
      </c>
      <c r="E20">
        <v>60.078285000000001</v>
      </c>
      <c r="F20" t="s">
        <v>1</v>
      </c>
      <c r="G20">
        <v>17.087595</v>
      </c>
      <c r="H20" t="s">
        <v>23</v>
      </c>
      <c r="I20" t="s">
        <v>3</v>
      </c>
      <c r="J20" t="s">
        <v>4</v>
      </c>
    </row>
    <row r="21" spans="1:10" x14ac:dyDescent="0.2">
      <c r="A21" t="s">
        <v>70</v>
      </c>
      <c r="B21" t="s">
        <v>71</v>
      </c>
      <c r="C21">
        <v>20421</v>
      </c>
      <c r="D21" t="s">
        <v>0</v>
      </c>
      <c r="E21">
        <v>36.668782</v>
      </c>
      <c r="F21" t="s">
        <v>1</v>
      </c>
      <c r="G21">
        <v>12.040269</v>
      </c>
      <c r="H21" t="s">
        <v>24</v>
      </c>
      <c r="I21" t="s">
        <v>3</v>
      </c>
      <c r="J21" t="s">
        <v>4</v>
      </c>
    </row>
    <row r="22" spans="1:10" x14ac:dyDescent="0.2">
      <c r="A22" t="s">
        <v>70</v>
      </c>
      <c r="B22" t="s">
        <v>71</v>
      </c>
      <c r="C22">
        <v>14799</v>
      </c>
      <c r="D22" t="s">
        <v>0</v>
      </c>
      <c r="E22">
        <v>29.713818</v>
      </c>
      <c r="F22" t="s">
        <v>1</v>
      </c>
      <c r="G22">
        <v>9.1787620000000008</v>
      </c>
      <c r="H22" t="s">
        <v>25</v>
      </c>
      <c r="I22" t="s">
        <v>3</v>
      </c>
      <c r="J22" t="s">
        <v>4</v>
      </c>
    </row>
    <row r="23" spans="1:10" x14ac:dyDescent="0.2">
      <c r="A23" t="s">
        <v>70</v>
      </c>
      <c r="B23" t="s">
        <v>71</v>
      </c>
      <c r="C23">
        <v>20211</v>
      </c>
      <c r="D23" t="s">
        <v>0</v>
      </c>
      <c r="E23">
        <v>38.788342</v>
      </c>
      <c r="F23" t="s">
        <v>1</v>
      </c>
      <c r="G23">
        <v>13.978754</v>
      </c>
      <c r="H23" t="s">
        <v>26</v>
      </c>
      <c r="I23" t="s">
        <v>3</v>
      </c>
      <c r="J23" t="s">
        <v>4</v>
      </c>
    </row>
    <row r="24" spans="1:10" x14ac:dyDescent="0.2">
      <c r="A24" t="s">
        <v>70</v>
      </c>
      <c r="B24" t="s">
        <v>71</v>
      </c>
      <c r="C24">
        <v>38029</v>
      </c>
      <c r="D24" t="s">
        <v>0</v>
      </c>
      <c r="E24">
        <v>52.500900999999999</v>
      </c>
      <c r="F24" t="s">
        <v>1</v>
      </c>
      <c r="G24">
        <v>18.381920999999998</v>
      </c>
      <c r="H24" t="s">
        <v>27</v>
      </c>
      <c r="I24" t="s">
        <v>3</v>
      </c>
      <c r="J24" t="s">
        <v>4</v>
      </c>
    </row>
    <row r="25" spans="1:10" x14ac:dyDescent="0.2">
      <c r="A25" t="s">
        <v>70</v>
      </c>
      <c r="B25" t="s">
        <v>71</v>
      </c>
      <c r="C25">
        <v>124106</v>
      </c>
      <c r="D25" t="s">
        <v>0</v>
      </c>
      <c r="E25">
        <v>168.855673</v>
      </c>
      <c r="F25" t="s">
        <v>1</v>
      </c>
      <c r="G25">
        <v>40.229413000000001</v>
      </c>
      <c r="H25" t="s">
        <v>28</v>
      </c>
      <c r="I25" t="s">
        <v>3</v>
      </c>
      <c r="J25" t="s">
        <v>4</v>
      </c>
    </row>
    <row r="26" spans="1:10" x14ac:dyDescent="0.2">
      <c r="A26" t="s">
        <v>70</v>
      </c>
      <c r="B26" t="s">
        <v>71</v>
      </c>
      <c r="C26">
        <v>31277</v>
      </c>
      <c r="D26" t="s">
        <v>0</v>
      </c>
      <c r="E26">
        <v>38.546182000000002</v>
      </c>
      <c r="F26" t="s">
        <v>1</v>
      </c>
      <c r="G26">
        <v>14.099491</v>
      </c>
      <c r="H26" t="s">
        <v>29</v>
      </c>
      <c r="I26" t="s">
        <v>3</v>
      </c>
      <c r="J26" t="s">
        <v>4</v>
      </c>
    </row>
    <row r="27" spans="1:10" x14ac:dyDescent="0.2">
      <c r="A27" t="s">
        <v>70</v>
      </c>
      <c r="B27" t="s">
        <v>71</v>
      </c>
      <c r="C27">
        <v>34950</v>
      </c>
      <c r="D27" t="s">
        <v>0</v>
      </c>
      <c r="E27">
        <v>47.521791999999998</v>
      </c>
      <c r="F27" t="s">
        <v>1</v>
      </c>
      <c r="G27">
        <v>14.066095000000001</v>
      </c>
      <c r="H27" t="s">
        <v>30</v>
      </c>
      <c r="I27" t="s">
        <v>3</v>
      </c>
      <c r="J27" t="s">
        <v>4</v>
      </c>
    </row>
    <row r="28" spans="1:10" x14ac:dyDescent="0.2">
      <c r="A28" t="s">
        <v>70</v>
      </c>
      <c r="B28" t="s">
        <v>71</v>
      </c>
      <c r="C28">
        <v>14254</v>
      </c>
      <c r="D28" t="s">
        <v>0</v>
      </c>
      <c r="E28">
        <v>23.417432999999999</v>
      </c>
      <c r="F28" t="s">
        <v>1</v>
      </c>
      <c r="G28">
        <v>7.0518429999999999</v>
      </c>
      <c r="H28" t="s">
        <v>31</v>
      </c>
      <c r="I28" t="s">
        <v>3</v>
      </c>
      <c r="J28" t="s">
        <v>4</v>
      </c>
    </row>
    <row r="29" spans="1:10" x14ac:dyDescent="0.2">
      <c r="A29" t="s">
        <v>70</v>
      </c>
      <c r="B29" t="s">
        <v>71</v>
      </c>
      <c r="C29">
        <v>30242</v>
      </c>
      <c r="D29" t="s">
        <v>0</v>
      </c>
      <c r="E29">
        <v>53.304257</v>
      </c>
      <c r="F29" t="s">
        <v>1</v>
      </c>
      <c r="G29">
        <v>12.298328</v>
      </c>
      <c r="H29" t="s">
        <v>32</v>
      </c>
      <c r="I29" t="s">
        <v>3</v>
      </c>
      <c r="J29" t="s">
        <v>4</v>
      </c>
    </row>
    <row r="30" spans="1:10" x14ac:dyDescent="0.2">
      <c r="A30" t="s">
        <v>70</v>
      </c>
      <c r="B30" t="s">
        <v>71</v>
      </c>
      <c r="C30">
        <v>10794</v>
      </c>
      <c r="D30" t="s">
        <v>0</v>
      </c>
      <c r="E30">
        <v>23.670093999999999</v>
      </c>
      <c r="F30" t="s">
        <v>1</v>
      </c>
      <c r="G30">
        <v>7.1487860000000003</v>
      </c>
      <c r="H30" t="s">
        <v>33</v>
      </c>
      <c r="I30" t="s">
        <v>3</v>
      </c>
      <c r="J30" t="s">
        <v>4</v>
      </c>
    </row>
    <row r="31" spans="1:10" x14ac:dyDescent="0.2">
      <c r="A31" t="s">
        <v>70</v>
      </c>
      <c r="B31" t="s">
        <v>71</v>
      </c>
      <c r="C31">
        <v>7703</v>
      </c>
      <c r="D31" t="s">
        <v>0</v>
      </c>
      <c r="E31">
        <v>20.667760000000001</v>
      </c>
      <c r="F31" t="s">
        <v>1</v>
      </c>
      <c r="G31">
        <v>6.2254290000000001</v>
      </c>
      <c r="H31" t="s">
        <v>34</v>
      </c>
      <c r="I31" t="s">
        <v>3</v>
      </c>
      <c r="J31" t="s">
        <v>4</v>
      </c>
    </row>
    <row r="32" spans="1:10" x14ac:dyDescent="0.2">
      <c r="A32" t="s">
        <v>70</v>
      </c>
      <c r="B32" t="s">
        <v>71</v>
      </c>
      <c r="C32">
        <v>12237</v>
      </c>
      <c r="D32" t="s">
        <v>0</v>
      </c>
      <c r="E32">
        <v>25.744793999999999</v>
      </c>
      <c r="F32" t="s">
        <v>1</v>
      </c>
      <c r="G32">
        <v>7.2035309999999999</v>
      </c>
      <c r="H32" t="s">
        <v>35</v>
      </c>
      <c r="I32" t="s">
        <v>3</v>
      </c>
      <c r="J32" t="s">
        <v>4</v>
      </c>
    </row>
    <row r="33" spans="1:10" x14ac:dyDescent="0.2">
      <c r="A33" t="s">
        <v>70</v>
      </c>
      <c r="B33" t="s">
        <v>71</v>
      </c>
      <c r="C33">
        <v>23498</v>
      </c>
      <c r="D33" t="s">
        <v>0</v>
      </c>
      <c r="E33">
        <v>36.11591</v>
      </c>
      <c r="F33" t="s">
        <v>1</v>
      </c>
      <c r="G33">
        <v>14.020128</v>
      </c>
      <c r="H33" t="s">
        <v>36</v>
      </c>
      <c r="I33" t="s">
        <v>3</v>
      </c>
      <c r="J33" t="s">
        <v>4</v>
      </c>
    </row>
    <row r="34" spans="1:10" x14ac:dyDescent="0.2">
      <c r="A34" t="s">
        <v>70</v>
      </c>
      <c r="B34" t="s">
        <v>71</v>
      </c>
      <c r="C34">
        <v>18384</v>
      </c>
      <c r="D34" t="s">
        <v>0</v>
      </c>
      <c r="E34">
        <v>37.619523000000001</v>
      </c>
      <c r="F34" t="s">
        <v>1</v>
      </c>
      <c r="G34">
        <v>9.5723889999999994</v>
      </c>
      <c r="H34" t="s">
        <v>37</v>
      </c>
      <c r="I34" t="s">
        <v>3</v>
      </c>
      <c r="J34" t="s">
        <v>4</v>
      </c>
    </row>
    <row r="35" spans="1:10" x14ac:dyDescent="0.2">
      <c r="A35" t="s">
        <v>70</v>
      </c>
      <c r="B35" t="s">
        <v>71</v>
      </c>
      <c r="C35">
        <v>38642</v>
      </c>
      <c r="D35" t="s">
        <v>0</v>
      </c>
      <c r="E35">
        <v>61.811366</v>
      </c>
      <c r="F35" t="s">
        <v>1</v>
      </c>
      <c r="G35">
        <v>19.244610000000002</v>
      </c>
      <c r="H35" t="s">
        <v>38</v>
      </c>
      <c r="I35" t="s">
        <v>3</v>
      </c>
      <c r="J35" t="s">
        <v>4</v>
      </c>
    </row>
    <row r="36" spans="1:10" x14ac:dyDescent="0.2">
      <c r="A36" t="s">
        <v>70</v>
      </c>
      <c r="B36" t="s">
        <v>71</v>
      </c>
      <c r="C36">
        <v>33562</v>
      </c>
      <c r="D36" t="s">
        <v>0</v>
      </c>
      <c r="E36">
        <v>53.521872000000002</v>
      </c>
      <c r="F36" t="s">
        <v>1</v>
      </c>
      <c r="G36">
        <v>15.507472999999999</v>
      </c>
      <c r="H36" t="s">
        <v>39</v>
      </c>
      <c r="I36" t="s">
        <v>3</v>
      </c>
      <c r="J36" t="s">
        <v>4</v>
      </c>
    </row>
    <row r="37" spans="1:10" x14ac:dyDescent="0.2">
      <c r="A37" t="s">
        <v>70</v>
      </c>
      <c r="B37" t="s">
        <v>71</v>
      </c>
      <c r="C37">
        <v>9092</v>
      </c>
      <c r="D37" t="s">
        <v>0</v>
      </c>
      <c r="E37">
        <v>19.814409000000001</v>
      </c>
      <c r="F37" t="s">
        <v>1</v>
      </c>
      <c r="G37">
        <v>8.755649</v>
      </c>
      <c r="H37" t="s">
        <v>40</v>
      </c>
      <c r="I37" t="s">
        <v>3</v>
      </c>
      <c r="J37" t="s">
        <v>4</v>
      </c>
    </row>
    <row r="38" spans="1:10" x14ac:dyDescent="0.2">
      <c r="A38" t="s">
        <v>70</v>
      </c>
      <c r="B38" t="s">
        <v>71</v>
      </c>
      <c r="C38">
        <v>34351</v>
      </c>
      <c r="D38" t="s">
        <v>0</v>
      </c>
      <c r="E38">
        <v>56.946021999999999</v>
      </c>
      <c r="F38" t="s">
        <v>1</v>
      </c>
      <c r="G38">
        <v>16.204232000000001</v>
      </c>
      <c r="H38" t="s">
        <v>41</v>
      </c>
      <c r="I38" t="s">
        <v>3</v>
      </c>
      <c r="J38" t="s">
        <v>4</v>
      </c>
    </row>
    <row r="39" spans="1:10" x14ac:dyDescent="0.2">
      <c r="A39" t="s">
        <v>70</v>
      </c>
      <c r="B39" t="s">
        <v>71</v>
      </c>
      <c r="C39">
        <v>76513</v>
      </c>
      <c r="D39" t="s">
        <v>0</v>
      </c>
      <c r="E39">
        <v>107.51818799999999</v>
      </c>
      <c r="F39" t="s">
        <v>1</v>
      </c>
      <c r="G39">
        <v>27.897065999999999</v>
      </c>
      <c r="H39" t="s">
        <v>42</v>
      </c>
      <c r="I39" t="s">
        <v>3</v>
      </c>
      <c r="J39" t="s">
        <v>4</v>
      </c>
    </row>
    <row r="40" spans="1:10" x14ac:dyDescent="0.2">
      <c r="A40" t="s">
        <v>70</v>
      </c>
      <c r="B40" t="s">
        <v>71</v>
      </c>
      <c r="C40">
        <v>107890</v>
      </c>
      <c r="D40" t="s">
        <v>0</v>
      </c>
      <c r="E40">
        <v>136.39844299999999</v>
      </c>
      <c r="F40" t="s">
        <v>1</v>
      </c>
      <c r="G40">
        <v>31.528724</v>
      </c>
      <c r="H40" t="s">
        <v>43</v>
      </c>
      <c r="I40" t="s">
        <v>3</v>
      </c>
      <c r="J40" t="s">
        <v>4</v>
      </c>
    </row>
    <row r="41" spans="1:10" x14ac:dyDescent="0.2">
      <c r="A41" t="s">
        <v>70</v>
      </c>
      <c r="B41" t="s">
        <v>71</v>
      </c>
      <c r="C41">
        <v>25498</v>
      </c>
      <c r="D41" t="s">
        <v>0</v>
      </c>
      <c r="E41">
        <v>46.887613000000002</v>
      </c>
      <c r="F41" t="s">
        <v>1</v>
      </c>
      <c r="G41">
        <v>11.985697</v>
      </c>
      <c r="H41" t="s">
        <v>44</v>
      </c>
      <c r="I41" t="s">
        <v>3</v>
      </c>
      <c r="J41" t="s">
        <v>4</v>
      </c>
    </row>
    <row r="42" spans="1:10" x14ac:dyDescent="0.2">
      <c r="A42" t="s">
        <v>70</v>
      </c>
      <c r="B42" t="s">
        <v>71</v>
      </c>
      <c r="C42">
        <v>35604</v>
      </c>
      <c r="D42" t="s">
        <v>0</v>
      </c>
      <c r="E42">
        <v>72.130675999999994</v>
      </c>
      <c r="F42" t="s">
        <v>1</v>
      </c>
      <c r="G42">
        <v>17.387979000000001</v>
      </c>
      <c r="H42" t="s">
        <v>45</v>
      </c>
      <c r="I42" t="s">
        <v>3</v>
      </c>
      <c r="J42" t="s">
        <v>4</v>
      </c>
    </row>
    <row r="43" spans="1:10" x14ac:dyDescent="0.2">
      <c r="A43" t="s">
        <v>70</v>
      </c>
      <c r="B43" t="s">
        <v>71</v>
      </c>
      <c r="C43">
        <v>15987</v>
      </c>
      <c r="D43" t="s">
        <v>0</v>
      </c>
      <c r="E43">
        <v>37.988725000000002</v>
      </c>
      <c r="F43" t="s">
        <v>1</v>
      </c>
      <c r="G43">
        <v>8.105893</v>
      </c>
      <c r="H43" t="s">
        <v>46</v>
      </c>
      <c r="I43" t="s">
        <v>3</v>
      </c>
      <c r="J43" t="s">
        <v>4</v>
      </c>
    </row>
    <row r="44" spans="1:10" x14ac:dyDescent="0.2">
      <c r="A44" t="s">
        <v>70</v>
      </c>
      <c r="B44" t="s">
        <v>71</v>
      </c>
      <c r="C44">
        <v>17704</v>
      </c>
      <c r="D44" t="s">
        <v>0</v>
      </c>
      <c r="E44">
        <v>38.995483</v>
      </c>
      <c r="F44" t="s">
        <v>1</v>
      </c>
      <c r="G44">
        <v>8.1124340000000004</v>
      </c>
      <c r="H44" t="s">
        <v>47</v>
      </c>
      <c r="I44" t="s">
        <v>3</v>
      </c>
      <c r="J44" t="s">
        <v>4</v>
      </c>
    </row>
    <row r="45" spans="1:10" x14ac:dyDescent="0.2">
      <c r="A45" t="s">
        <v>70</v>
      </c>
      <c r="B45" t="s">
        <v>71</v>
      </c>
      <c r="C45">
        <v>17590</v>
      </c>
      <c r="D45" t="s">
        <v>0</v>
      </c>
      <c r="E45">
        <v>41.479579999999999</v>
      </c>
      <c r="F45" t="s">
        <v>1</v>
      </c>
      <c r="G45">
        <v>8.5516220000000001</v>
      </c>
      <c r="H45" t="s">
        <v>48</v>
      </c>
      <c r="I45" t="s">
        <v>3</v>
      </c>
      <c r="J45" t="s">
        <v>4</v>
      </c>
    </row>
    <row r="46" spans="1:10" x14ac:dyDescent="0.2">
      <c r="A46" t="s">
        <v>70</v>
      </c>
      <c r="B46" t="s">
        <v>71</v>
      </c>
      <c r="C46">
        <v>29173</v>
      </c>
      <c r="D46" t="s">
        <v>0</v>
      </c>
      <c r="E46">
        <v>53.565455</v>
      </c>
      <c r="F46" t="s">
        <v>1</v>
      </c>
      <c r="G46">
        <v>11.323328999999999</v>
      </c>
      <c r="H46" t="s">
        <v>49</v>
      </c>
      <c r="I46" t="s">
        <v>3</v>
      </c>
      <c r="J46" t="s">
        <v>4</v>
      </c>
    </row>
    <row r="47" spans="1:10" x14ac:dyDescent="0.2">
      <c r="A47" t="s">
        <v>70</v>
      </c>
      <c r="B47" t="s">
        <v>71</v>
      </c>
      <c r="C47">
        <v>36406</v>
      </c>
      <c r="D47" t="s">
        <v>0</v>
      </c>
      <c r="E47">
        <v>73.758953000000005</v>
      </c>
      <c r="F47" t="s">
        <v>1</v>
      </c>
      <c r="G47">
        <v>15.123507999999999</v>
      </c>
      <c r="H47" t="s">
        <v>50</v>
      </c>
      <c r="I47" t="s">
        <v>3</v>
      </c>
      <c r="J47" t="s">
        <v>4</v>
      </c>
    </row>
    <row r="48" spans="1:10" x14ac:dyDescent="0.2">
      <c r="A48" t="s">
        <v>70</v>
      </c>
      <c r="B48" t="s">
        <v>71</v>
      </c>
      <c r="C48">
        <v>47927</v>
      </c>
      <c r="D48" t="s">
        <v>0</v>
      </c>
      <c r="E48">
        <v>54.166141000000003</v>
      </c>
      <c r="F48" t="s">
        <v>1</v>
      </c>
      <c r="G48">
        <v>24.342113000000001</v>
      </c>
      <c r="H48" t="s">
        <v>51</v>
      </c>
      <c r="I48" t="s">
        <v>3</v>
      </c>
      <c r="J48" t="s">
        <v>4</v>
      </c>
    </row>
    <row r="49" spans="1:10" x14ac:dyDescent="0.2">
      <c r="A49" t="s">
        <v>70</v>
      </c>
      <c r="B49" t="s">
        <v>71</v>
      </c>
      <c r="C49">
        <v>15948</v>
      </c>
      <c r="D49" t="s">
        <v>0</v>
      </c>
      <c r="E49">
        <v>26.178595000000001</v>
      </c>
      <c r="F49" t="s">
        <v>1</v>
      </c>
      <c r="G49">
        <v>8.4421239999999997</v>
      </c>
      <c r="H49" t="s">
        <v>52</v>
      </c>
      <c r="I49" t="s">
        <v>3</v>
      </c>
      <c r="J49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49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72</v>
      </c>
      <c r="B1" t="s">
        <v>71</v>
      </c>
      <c r="C1">
        <v>115449</v>
      </c>
      <c r="D1" t="s">
        <v>0</v>
      </c>
      <c r="E1">
        <v>180.83443399999999</v>
      </c>
      <c r="F1" t="s">
        <v>1</v>
      </c>
      <c r="G1">
        <v>43.390709000000001</v>
      </c>
      <c r="H1" t="s">
        <v>2</v>
      </c>
      <c r="I1" t="s">
        <v>3</v>
      </c>
      <c r="J1" t="s">
        <v>4</v>
      </c>
    </row>
    <row r="2" spans="1:10" x14ac:dyDescent="0.2">
      <c r="A2" t="s">
        <v>72</v>
      </c>
      <c r="B2" t="s">
        <v>71</v>
      </c>
      <c r="C2">
        <v>79011</v>
      </c>
      <c r="D2" t="s">
        <v>0</v>
      </c>
      <c r="E2">
        <v>121.865814</v>
      </c>
      <c r="F2" t="s">
        <v>1</v>
      </c>
      <c r="G2">
        <v>34.151429999999998</v>
      </c>
      <c r="H2" t="s">
        <v>5</v>
      </c>
      <c r="I2" t="s">
        <v>3</v>
      </c>
      <c r="J2" t="s">
        <v>4</v>
      </c>
    </row>
    <row r="3" spans="1:10" x14ac:dyDescent="0.2">
      <c r="A3" t="s">
        <v>72</v>
      </c>
      <c r="B3" t="s">
        <v>71</v>
      </c>
      <c r="C3">
        <v>82837</v>
      </c>
      <c r="D3" t="s">
        <v>0</v>
      </c>
      <c r="E3">
        <v>129.531398</v>
      </c>
      <c r="F3" t="s">
        <v>1</v>
      </c>
      <c r="G3">
        <v>33.358750999999998</v>
      </c>
      <c r="H3" t="s">
        <v>6</v>
      </c>
      <c r="I3" t="s">
        <v>3</v>
      </c>
      <c r="J3" t="s">
        <v>4</v>
      </c>
    </row>
    <row r="4" spans="1:10" x14ac:dyDescent="0.2">
      <c r="A4" t="s">
        <v>72</v>
      </c>
      <c r="B4" t="s">
        <v>71</v>
      </c>
      <c r="C4">
        <v>201241</v>
      </c>
      <c r="D4" t="s">
        <v>0</v>
      </c>
      <c r="E4">
        <v>288.13972799999999</v>
      </c>
      <c r="F4" t="s">
        <v>1</v>
      </c>
      <c r="G4">
        <v>56.912013999999999</v>
      </c>
      <c r="H4" t="s">
        <v>7</v>
      </c>
      <c r="I4" t="s">
        <v>3</v>
      </c>
      <c r="J4" t="s">
        <v>4</v>
      </c>
    </row>
    <row r="5" spans="1:10" x14ac:dyDescent="0.2">
      <c r="A5" t="s">
        <v>72</v>
      </c>
      <c r="B5" t="s">
        <v>71</v>
      </c>
      <c r="C5">
        <v>61516</v>
      </c>
      <c r="D5" t="s">
        <v>0</v>
      </c>
      <c r="E5">
        <v>94.036767999999995</v>
      </c>
      <c r="F5" t="s">
        <v>1</v>
      </c>
      <c r="G5">
        <v>25.647480000000002</v>
      </c>
      <c r="H5" t="s">
        <v>8</v>
      </c>
      <c r="I5" t="s">
        <v>3</v>
      </c>
      <c r="J5" t="s">
        <v>4</v>
      </c>
    </row>
    <row r="6" spans="1:10" x14ac:dyDescent="0.2">
      <c r="A6" t="s">
        <v>72</v>
      </c>
      <c r="B6" t="s">
        <v>71</v>
      </c>
      <c r="C6">
        <v>22354</v>
      </c>
      <c r="D6" t="s">
        <v>0</v>
      </c>
      <c r="E6">
        <v>37.519618999999999</v>
      </c>
      <c r="F6" t="s">
        <v>1</v>
      </c>
      <c r="G6">
        <v>12.153597</v>
      </c>
      <c r="H6" t="s">
        <v>9</v>
      </c>
      <c r="I6" t="s">
        <v>3</v>
      </c>
      <c r="J6" t="s">
        <v>4</v>
      </c>
    </row>
    <row r="7" spans="1:10" x14ac:dyDescent="0.2">
      <c r="A7" t="s">
        <v>72</v>
      </c>
      <c r="B7" t="s">
        <v>71</v>
      </c>
      <c r="C7">
        <v>137712</v>
      </c>
      <c r="D7" t="s">
        <v>0</v>
      </c>
      <c r="E7">
        <v>187.53619399999999</v>
      </c>
      <c r="F7" t="s">
        <v>1</v>
      </c>
      <c r="G7">
        <v>42.475577999999999</v>
      </c>
      <c r="H7" t="s">
        <v>10</v>
      </c>
      <c r="I7" t="s">
        <v>3</v>
      </c>
      <c r="J7" t="s">
        <v>4</v>
      </c>
    </row>
    <row r="8" spans="1:10" x14ac:dyDescent="0.2">
      <c r="A8" t="s">
        <v>72</v>
      </c>
      <c r="B8" t="s">
        <v>71</v>
      </c>
      <c r="C8">
        <v>51566</v>
      </c>
      <c r="D8" t="s">
        <v>0</v>
      </c>
      <c r="E8">
        <v>98.609707</v>
      </c>
      <c r="F8" t="s">
        <v>1</v>
      </c>
      <c r="G8">
        <v>24.640947000000001</v>
      </c>
      <c r="H8" t="s">
        <v>11</v>
      </c>
      <c r="I8" t="s">
        <v>3</v>
      </c>
      <c r="J8" t="s">
        <v>4</v>
      </c>
    </row>
    <row r="9" spans="1:10" x14ac:dyDescent="0.2">
      <c r="A9" t="s">
        <v>72</v>
      </c>
      <c r="B9" t="s">
        <v>71</v>
      </c>
      <c r="C9">
        <v>33986</v>
      </c>
      <c r="D9" t="s">
        <v>0</v>
      </c>
      <c r="E9">
        <v>61.290979</v>
      </c>
      <c r="F9" t="s">
        <v>1</v>
      </c>
      <c r="G9">
        <v>16.140329999999999</v>
      </c>
      <c r="H9" t="s">
        <v>12</v>
      </c>
      <c r="I9" t="s">
        <v>3</v>
      </c>
      <c r="J9" t="s">
        <v>4</v>
      </c>
    </row>
    <row r="10" spans="1:10" x14ac:dyDescent="0.2">
      <c r="A10" t="s">
        <v>72</v>
      </c>
      <c r="B10" t="s">
        <v>71</v>
      </c>
      <c r="C10">
        <v>79706</v>
      </c>
      <c r="D10" t="s">
        <v>0</v>
      </c>
      <c r="E10">
        <v>88.626864999999995</v>
      </c>
      <c r="F10" t="s">
        <v>1</v>
      </c>
      <c r="G10">
        <v>31.982634999999998</v>
      </c>
      <c r="H10" t="s">
        <v>13</v>
      </c>
      <c r="I10" t="s">
        <v>3</v>
      </c>
      <c r="J10" t="s">
        <v>4</v>
      </c>
    </row>
    <row r="11" spans="1:10" x14ac:dyDescent="0.2">
      <c r="A11" t="s">
        <v>72</v>
      </c>
      <c r="B11" t="s">
        <v>71</v>
      </c>
      <c r="C11">
        <v>2082</v>
      </c>
      <c r="D11" t="s">
        <v>0</v>
      </c>
      <c r="E11">
        <v>4.1259670000000002</v>
      </c>
      <c r="F11" t="s">
        <v>1</v>
      </c>
      <c r="G11">
        <v>2.5863149999999999</v>
      </c>
      <c r="H11" t="s">
        <v>14</v>
      </c>
      <c r="I11" t="s">
        <v>3</v>
      </c>
      <c r="J11" t="s">
        <v>4</v>
      </c>
    </row>
    <row r="12" spans="1:10" x14ac:dyDescent="0.2">
      <c r="A12" t="s">
        <v>72</v>
      </c>
      <c r="B12" t="s">
        <v>71</v>
      </c>
      <c r="C12">
        <v>37604</v>
      </c>
      <c r="D12" t="s">
        <v>0</v>
      </c>
      <c r="E12">
        <v>62.998157999999997</v>
      </c>
      <c r="F12" t="s">
        <v>1</v>
      </c>
      <c r="G12">
        <v>21.085453999999999</v>
      </c>
      <c r="H12" t="s">
        <v>15</v>
      </c>
      <c r="I12" t="s">
        <v>3</v>
      </c>
      <c r="J12" t="s">
        <v>4</v>
      </c>
    </row>
    <row r="13" spans="1:10" x14ac:dyDescent="0.2">
      <c r="A13" t="s">
        <v>72</v>
      </c>
      <c r="B13" t="s">
        <v>71</v>
      </c>
      <c r="C13">
        <v>33529</v>
      </c>
      <c r="D13" t="s">
        <v>0</v>
      </c>
      <c r="E13">
        <v>58.469365000000003</v>
      </c>
      <c r="F13" t="s">
        <v>1</v>
      </c>
      <c r="G13">
        <v>20.434272</v>
      </c>
      <c r="H13" t="s">
        <v>16</v>
      </c>
      <c r="I13" t="s">
        <v>3</v>
      </c>
      <c r="J13" t="s">
        <v>4</v>
      </c>
    </row>
    <row r="14" spans="1:10" x14ac:dyDescent="0.2">
      <c r="A14" t="s">
        <v>72</v>
      </c>
      <c r="B14" t="s">
        <v>71</v>
      </c>
      <c r="C14">
        <v>17829</v>
      </c>
      <c r="D14" t="s">
        <v>0</v>
      </c>
      <c r="E14">
        <v>33.745189000000003</v>
      </c>
      <c r="F14" t="s">
        <v>1</v>
      </c>
      <c r="G14">
        <v>11.738732000000001</v>
      </c>
      <c r="H14" t="s">
        <v>17</v>
      </c>
      <c r="I14" t="s">
        <v>3</v>
      </c>
      <c r="J14" t="s">
        <v>4</v>
      </c>
    </row>
    <row r="15" spans="1:10" x14ac:dyDescent="0.2">
      <c r="A15" t="s">
        <v>72</v>
      </c>
      <c r="B15" t="s">
        <v>71</v>
      </c>
      <c r="C15">
        <v>35795</v>
      </c>
      <c r="D15" t="s">
        <v>0</v>
      </c>
      <c r="E15">
        <v>68.221836999999994</v>
      </c>
      <c r="F15" t="s">
        <v>1</v>
      </c>
      <c r="G15">
        <v>22.483554999999999</v>
      </c>
      <c r="H15" t="s">
        <v>18</v>
      </c>
      <c r="I15" t="s">
        <v>3</v>
      </c>
      <c r="J15" t="s">
        <v>4</v>
      </c>
    </row>
    <row r="16" spans="1:10" x14ac:dyDescent="0.2">
      <c r="A16" t="s">
        <v>72</v>
      </c>
      <c r="B16" t="s">
        <v>71</v>
      </c>
      <c r="C16">
        <v>63474</v>
      </c>
      <c r="D16" t="s">
        <v>0</v>
      </c>
      <c r="E16">
        <v>86.114804000000007</v>
      </c>
      <c r="F16" t="s">
        <v>1</v>
      </c>
      <c r="G16">
        <v>27.887125000000001</v>
      </c>
      <c r="H16" t="s">
        <v>19</v>
      </c>
      <c r="I16" t="s">
        <v>3</v>
      </c>
      <c r="J16" t="s">
        <v>4</v>
      </c>
    </row>
    <row r="17" spans="1:10" x14ac:dyDescent="0.2">
      <c r="A17" t="s">
        <v>72</v>
      </c>
      <c r="B17" t="s">
        <v>71</v>
      </c>
      <c r="C17">
        <v>97606</v>
      </c>
      <c r="D17" t="s">
        <v>0</v>
      </c>
      <c r="E17">
        <v>147.427066</v>
      </c>
      <c r="F17" t="s">
        <v>1</v>
      </c>
      <c r="G17">
        <v>40.253362000000003</v>
      </c>
      <c r="H17" t="s">
        <v>20</v>
      </c>
      <c r="I17" t="s">
        <v>3</v>
      </c>
      <c r="J17" t="s">
        <v>4</v>
      </c>
    </row>
    <row r="18" spans="1:10" x14ac:dyDescent="0.2">
      <c r="A18" t="s">
        <v>72</v>
      </c>
      <c r="B18" t="s">
        <v>71</v>
      </c>
      <c r="C18">
        <v>27484</v>
      </c>
      <c r="D18" t="s">
        <v>0</v>
      </c>
      <c r="E18">
        <v>51.010260000000002</v>
      </c>
      <c r="F18" t="s">
        <v>1</v>
      </c>
      <c r="G18">
        <v>13.553521999999999</v>
      </c>
      <c r="H18" t="s">
        <v>21</v>
      </c>
      <c r="I18" t="s">
        <v>3</v>
      </c>
      <c r="J18" t="s">
        <v>4</v>
      </c>
    </row>
    <row r="19" spans="1:10" x14ac:dyDescent="0.2">
      <c r="A19" t="s">
        <v>72</v>
      </c>
      <c r="B19" t="s">
        <v>71</v>
      </c>
      <c r="C19">
        <v>48023</v>
      </c>
      <c r="D19" t="s">
        <v>0</v>
      </c>
      <c r="E19">
        <v>77.937044</v>
      </c>
      <c r="F19" t="s">
        <v>1</v>
      </c>
      <c r="G19">
        <v>22.005941</v>
      </c>
      <c r="H19" t="s">
        <v>22</v>
      </c>
      <c r="I19" t="s">
        <v>3</v>
      </c>
      <c r="J19" t="s">
        <v>4</v>
      </c>
    </row>
    <row r="20" spans="1:10" x14ac:dyDescent="0.2">
      <c r="A20" t="s">
        <v>72</v>
      </c>
      <c r="B20" t="s">
        <v>71</v>
      </c>
      <c r="C20">
        <v>39681</v>
      </c>
      <c r="D20" t="s">
        <v>0</v>
      </c>
      <c r="E20">
        <v>64.647414999999995</v>
      </c>
      <c r="F20" t="s">
        <v>1</v>
      </c>
      <c r="G20">
        <v>18.995633000000002</v>
      </c>
      <c r="H20" t="s">
        <v>23</v>
      </c>
      <c r="I20" t="s">
        <v>3</v>
      </c>
      <c r="J20" t="s">
        <v>4</v>
      </c>
    </row>
    <row r="21" spans="1:10" x14ac:dyDescent="0.2">
      <c r="A21" t="s">
        <v>72</v>
      </c>
      <c r="B21" t="s">
        <v>71</v>
      </c>
      <c r="C21">
        <v>20421</v>
      </c>
      <c r="D21" t="s">
        <v>0</v>
      </c>
      <c r="E21">
        <v>34.730899000000001</v>
      </c>
      <c r="F21" t="s">
        <v>1</v>
      </c>
      <c r="G21">
        <v>12.792858000000001</v>
      </c>
      <c r="H21" t="s">
        <v>24</v>
      </c>
      <c r="I21" t="s">
        <v>3</v>
      </c>
      <c r="J21" t="s">
        <v>4</v>
      </c>
    </row>
    <row r="22" spans="1:10" x14ac:dyDescent="0.2">
      <c r="A22" t="s">
        <v>72</v>
      </c>
      <c r="B22" t="s">
        <v>71</v>
      </c>
      <c r="C22">
        <v>14799</v>
      </c>
      <c r="D22" t="s">
        <v>0</v>
      </c>
      <c r="E22">
        <v>28.847147</v>
      </c>
      <c r="F22" t="s">
        <v>1</v>
      </c>
      <c r="G22">
        <v>177.65928500000001</v>
      </c>
      <c r="H22" t="s">
        <v>25</v>
      </c>
      <c r="I22" t="s">
        <v>3</v>
      </c>
      <c r="J22" t="s">
        <v>4</v>
      </c>
    </row>
    <row r="23" spans="1:10" x14ac:dyDescent="0.2">
      <c r="A23" t="s">
        <v>72</v>
      </c>
      <c r="B23" t="s">
        <v>71</v>
      </c>
      <c r="C23">
        <v>20211</v>
      </c>
      <c r="D23" t="s">
        <v>0</v>
      </c>
      <c r="E23">
        <v>41.352254000000002</v>
      </c>
      <c r="F23" t="s">
        <v>1</v>
      </c>
      <c r="G23">
        <v>12.968724999999999</v>
      </c>
      <c r="H23" t="s">
        <v>26</v>
      </c>
      <c r="I23" t="s">
        <v>3</v>
      </c>
      <c r="J23" t="s">
        <v>4</v>
      </c>
    </row>
    <row r="24" spans="1:10" x14ac:dyDescent="0.2">
      <c r="A24" t="s">
        <v>72</v>
      </c>
      <c r="B24" t="s">
        <v>71</v>
      </c>
      <c r="C24">
        <v>38029</v>
      </c>
      <c r="D24" t="s">
        <v>0</v>
      </c>
      <c r="E24">
        <v>70.647085000000004</v>
      </c>
      <c r="F24" t="s">
        <v>1</v>
      </c>
      <c r="G24">
        <v>21.296921999999999</v>
      </c>
      <c r="H24" t="s">
        <v>27</v>
      </c>
      <c r="I24" t="s">
        <v>3</v>
      </c>
      <c r="J24" t="s">
        <v>4</v>
      </c>
    </row>
    <row r="25" spans="1:10" x14ac:dyDescent="0.2">
      <c r="A25" t="s">
        <v>72</v>
      </c>
      <c r="B25" t="s">
        <v>71</v>
      </c>
      <c r="C25">
        <v>124106</v>
      </c>
      <c r="D25" t="s">
        <v>0</v>
      </c>
      <c r="E25">
        <v>209.42968200000001</v>
      </c>
      <c r="F25" t="s">
        <v>1</v>
      </c>
      <c r="G25">
        <v>50.640875999999999</v>
      </c>
      <c r="H25" t="s">
        <v>28</v>
      </c>
      <c r="I25" t="s">
        <v>3</v>
      </c>
      <c r="J25" t="s">
        <v>4</v>
      </c>
    </row>
    <row r="26" spans="1:10" x14ac:dyDescent="0.2">
      <c r="A26" t="s">
        <v>72</v>
      </c>
      <c r="B26" t="s">
        <v>71</v>
      </c>
      <c r="C26">
        <v>31277</v>
      </c>
      <c r="D26" t="s">
        <v>0</v>
      </c>
      <c r="E26">
        <v>47.575524000000001</v>
      </c>
      <c r="F26" t="s">
        <v>1</v>
      </c>
      <c r="G26">
        <v>15.026260000000001</v>
      </c>
      <c r="H26" t="s">
        <v>29</v>
      </c>
      <c r="I26" t="s">
        <v>3</v>
      </c>
      <c r="J26" t="s">
        <v>4</v>
      </c>
    </row>
    <row r="27" spans="1:10" x14ac:dyDescent="0.2">
      <c r="A27" t="s">
        <v>72</v>
      </c>
      <c r="B27" t="s">
        <v>71</v>
      </c>
      <c r="C27">
        <v>34950</v>
      </c>
      <c r="D27" t="s">
        <v>0</v>
      </c>
      <c r="E27">
        <v>61.134351000000002</v>
      </c>
      <c r="F27" t="s">
        <v>1</v>
      </c>
      <c r="G27">
        <v>15.103241000000001</v>
      </c>
      <c r="H27" t="s">
        <v>30</v>
      </c>
      <c r="I27" t="s">
        <v>3</v>
      </c>
      <c r="J27" t="s">
        <v>4</v>
      </c>
    </row>
    <row r="28" spans="1:10" x14ac:dyDescent="0.2">
      <c r="A28" t="s">
        <v>72</v>
      </c>
      <c r="B28" t="s">
        <v>71</v>
      </c>
      <c r="C28">
        <v>14254</v>
      </c>
      <c r="D28" t="s">
        <v>0</v>
      </c>
      <c r="E28">
        <v>28.110593999999999</v>
      </c>
      <c r="F28" t="s">
        <v>1</v>
      </c>
      <c r="G28">
        <v>15.043435000000001</v>
      </c>
      <c r="H28" t="s">
        <v>31</v>
      </c>
      <c r="I28" t="s">
        <v>3</v>
      </c>
      <c r="J28" t="s">
        <v>4</v>
      </c>
    </row>
    <row r="29" spans="1:10" x14ac:dyDescent="0.2">
      <c r="A29" t="s">
        <v>72</v>
      </c>
      <c r="B29" t="s">
        <v>71</v>
      </c>
      <c r="C29">
        <v>30242</v>
      </c>
      <c r="D29" t="s">
        <v>0</v>
      </c>
      <c r="E29">
        <v>62.147869</v>
      </c>
      <c r="F29" t="s">
        <v>1</v>
      </c>
      <c r="G29">
        <v>13.33459</v>
      </c>
      <c r="H29" t="s">
        <v>32</v>
      </c>
      <c r="I29" t="s">
        <v>3</v>
      </c>
      <c r="J29" t="s">
        <v>4</v>
      </c>
    </row>
    <row r="30" spans="1:10" x14ac:dyDescent="0.2">
      <c r="A30" t="s">
        <v>72</v>
      </c>
      <c r="B30" t="s">
        <v>71</v>
      </c>
      <c r="C30">
        <v>10794</v>
      </c>
      <c r="D30" t="s">
        <v>0</v>
      </c>
      <c r="E30">
        <v>28.142237999999999</v>
      </c>
      <c r="F30" t="s">
        <v>1</v>
      </c>
      <c r="G30">
        <v>7.4584919999999997</v>
      </c>
      <c r="H30" t="s">
        <v>33</v>
      </c>
      <c r="I30" t="s">
        <v>3</v>
      </c>
      <c r="J30" t="s">
        <v>4</v>
      </c>
    </row>
    <row r="31" spans="1:10" x14ac:dyDescent="0.2">
      <c r="A31" t="s">
        <v>72</v>
      </c>
      <c r="B31" t="s">
        <v>71</v>
      </c>
      <c r="C31">
        <v>7703</v>
      </c>
      <c r="D31" t="s">
        <v>0</v>
      </c>
      <c r="E31">
        <v>22.948440999999999</v>
      </c>
      <c r="F31" t="s">
        <v>1</v>
      </c>
      <c r="G31">
        <v>6.5206799999999996</v>
      </c>
      <c r="H31" t="s">
        <v>34</v>
      </c>
      <c r="I31" t="s">
        <v>3</v>
      </c>
      <c r="J31" t="s">
        <v>4</v>
      </c>
    </row>
    <row r="32" spans="1:10" x14ac:dyDescent="0.2">
      <c r="A32" t="s">
        <v>72</v>
      </c>
      <c r="B32" t="s">
        <v>71</v>
      </c>
      <c r="C32">
        <v>12237</v>
      </c>
      <c r="D32" t="s">
        <v>0</v>
      </c>
      <c r="E32">
        <v>30.528271</v>
      </c>
      <c r="F32" t="s">
        <v>1</v>
      </c>
      <c r="G32">
        <v>8.7184360000000005</v>
      </c>
      <c r="H32" t="s">
        <v>35</v>
      </c>
      <c r="I32" t="s">
        <v>3</v>
      </c>
      <c r="J32" t="s">
        <v>4</v>
      </c>
    </row>
    <row r="33" spans="1:10" x14ac:dyDescent="0.2">
      <c r="A33" t="s">
        <v>72</v>
      </c>
      <c r="B33" t="s">
        <v>71</v>
      </c>
      <c r="C33">
        <v>23498</v>
      </c>
      <c r="D33" t="s">
        <v>0</v>
      </c>
      <c r="E33">
        <v>40.83549</v>
      </c>
      <c r="F33" t="s">
        <v>1</v>
      </c>
      <c r="G33">
        <v>10.383098</v>
      </c>
      <c r="H33" t="s">
        <v>36</v>
      </c>
      <c r="I33" t="s">
        <v>3</v>
      </c>
      <c r="J33" t="s">
        <v>4</v>
      </c>
    </row>
    <row r="34" spans="1:10" x14ac:dyDescent="0.2">
      <c r="A34" t="s">
        <v>72</v>
      </c>
      <c r="B34" t="s">
        <v>71</v>
      </c>
      <c r="C34">
        <v>18384</v>
      </c>
      <c r="D34" t="s">
        <v>0</v>
      </c>
      <c r="E34">
        <v>47.459074000000001</v>
      </c>
      <c r="F34" t="s">
        <v>1</v>
      </c>
      <c r="G34">
        <v>9.9945120000000003</v>
      </c>
      <c r="H34" t="s">
        <v>37</v>
      </c>
      <c r="I34" t="s">
        <v>3</v>
      </c>
      <c r="J34" t="s">
        <v>4</v>
      </c>
    </row>
    <row r="35" spans="1:10" x14ac:dyDescent="0.2">
      <c r="A35" t="s">
        <v>72</v>
      </c>
      <c r="B35" t="s">
        <v>71</v>
      </c>
      <c r="C35">
        <v>38642</v>
      </c>
      <c r="D35" t="s">
        <v>0</v>
      </c>
      <c r="E35">
        <v>63.606631</v>
      </c>
      <c r="F35" t="s">
        <v>1</v>
      </c>
      <c r="G35">
        <v>18.712942000000002</v>
      </c>
      <c r="H35" t="s">
        <v>38</v>
      </c>
      <c r="I35" t="s">
        <v>3</v>
      </c>
      <c r="J35" t="s">
        <v>4</v>
      </c>
    </row>
    <row r="36" spans="1:10" x14ac:dyDescent="0.2">
      <c r="A36" t="s">
        <v>72</v>
      </c>
      <c r="B36" t="s">
        <v>71</v>
      </c>
      <c r="C36">
        <v>33562</v>
      </c>
      <c r="D36" t="s">
        <v>0</v>
      </c>
      <c r="E36">
        <v>58.140917000000002</v>
      </c>
      <c r="F36" t="s">
        <v>1</v>
      </c>
      <c r="G36">
        <v>15.872178999999999</v>
      </c>
      <c r="H36" t="s">
        <v>39</v>
      </c>
      <c r="I36" t="s">
        <v>3</v>
      </c>
      <c r="J36" t="s">
        <v>4</v>
      </c>
    </row>
    <row r="37" spans="1:10" x14ac:dyDescent="0.2">
      <c r="A37" t="s">
        <v>72</v>
      </c>
      <c r="B37" t="s">
        <v>71</v>
      </c>
      <c r="C37">
        <v>9092</v>
      </c>
      <c r="D37" t="s">
        <v>0</v>
      </c>
      <c r="E37">
        <v>25.412744</v>
      </c>
      <c r="F37" t="s">
        <v>1</v>
      </c>
      <c r="G37">
        <v>7.9523580000000003</v>
      </c>
      <c r="H37" t="s">
        <v>40</v>
      </c>
      <c r="I37" t="s">
        <v>3</v>
      </c>
      <c r="J37" t="s">
        <v>4</v>
      </c>
    </row>
    <row r="38" spans="1:10" x14ac:dyDescent="0.2">
      <c r="A38" t="s">
        <v>72</v>
      </c>
      <c r="B38" t="s">
        <v>71</v>
      </c>
      <c r="C38">
        <v>34351</v>
      </c>
      <c r="D38" t="s">
        <v>0</v>
      </c>
      <c r="E38">
        <v>52.372405000000001</v>
      </c>
      <c r="F38" t="s">
        <v>1</v>
      </c>
      <c r="G38">
        <v>17.862166999999999</v>
      </c>
      <c r="H38" t="s">
        <v>41</v>
      </c>
      <c r="I38" t="s">
        <v>3</v>
      </c>
      <c r="J38" t="s">
        <v>4</v>
      </c>
    </row>
    <row r="39" spans="1:10" x14ac:dyDescent="0.2">
      <c r="A39" t="s">
        <v>72</v>
      </c>
      <c r="B39" t="s">
        <v>71</v>
      </c>
      <c r="C39">
        <v>76513</v>
      </c>
      <c r="D39" t="s">
        <v>0</v>
      </c>
      <c r="E39">
        <v>97.795715000000001</v>
      </c>
      <c r="F39" t="s">
        <v>1</v>
      </c>
      <c r="G39">
        <v>28.813455999999999</v>
      </c>
      <c r="H39" t="s">
        <v>42</v>
      </c>
      <c r="I39" t="s">
        <v>3</v>
      </c>
      <c r="J39" t="s">
        <v>4</v>
      </c>
    </row>
    <row r="40" spans="1:10" x14ac:dyDescent="0.2">
      <c r="A40" t="s">
        <v>72</v>
      </c>
      <c r="B40" t="s">
        <v>71</v>
      </c>
      <c r="C40">
        <v>107890</v>
      </c>
      <c r="D40" t="s">
        <v>0</v>
      </c>
      <c r="E40">
        <v>153.14441600000001</v>
      </c>
      <c r="F40" t="s">
        <v>1</v>
      </c>
      <c r="G40">
        <v>33.179747999999996</v>
      </c>
      <c r="H40" t="s">
        <v>43</v>
      </c>
      <c r="I40" t="s">
        <v>3</v>
      </c>
      <c r="J40" t="s">
        <v>4</v>
      </c>
    </row>
    <row r="41" spans="1:10" x14ac:dyDescent="0.2">
      <c r="A41" t="s">
        <v>72</v>
      </c>
      <c r="B41" t="s">
        <v>71</v>
      </c>
      <c r="C41">
        <v>25498</v>
      </c>
      <c r="D41" t="s">
        <v>0</v>
      </c>
      <c r="E41">
        <v>53.369795000000003</v>
      </c>
      <c r="F41" t="s">
        <v>1</v>
      </c>
      <c r="G41">
        <v>16.008699</v>
      </c>
      <c r="H41" t="s">
        <v>44</v>
      </c>
      <c r="I41" t="s">
        <v>3</v>
      </c>
      <c r="J41" t="s">
        <v>4</v>
      </c>
    </row>
    <row r="42" spans="1:10" x14ac:dyDescent="0.2">
      <c r="A42" t="s">
        <v>72</v>
      </c>
      <c r="B42" t="s">
        <v>71</v>
      </c>
      <c r="C42">
        <v>35604</v>
      </c>
      <c r="D42" t="s">
        <v>0</v>
      </c>
      <c r="E42">
        <v>79.953536999999997</v>
      </c>
      <c r="F42" t="s">
        <v>1</v>
      </c>
      <c r="G42">
        <v>15.371759000000001</v>
      </c>
      <c r="H42" t="s">
        <v>45</v>
      </c>
      <c r="I42" t="s">
        <v>3</v>
      </c>
      <c r="J42" t="s">
        <v>4</v>
      </c>
    </row>
    <row r="43" spans="1:10" x14ac:dyDescent="0.2">
      <c r="A43" t="s">
        <v>72</v>
      </c>
      <c r="B43" t="s">
        <v>71</v>
      </c>
      <c r="C43">
        <v>15987</v>
      </c>
      <c r="D43" t="s">
        <v>0</v>
      </c>
      <c r="E43">
        <v>41.749502999999997</v>
      </c>
      <c r="F43" t="s">
        <v>1</v>
      </c>
      <c r="G43">
        <v>8.8782479999999993</v>
      </c>
      <c r="H43" t="s">
        <v>46</v>
      </c>
      <c r="I43" t="s">
        <v>3</v>
      </c>
      <c r="J43" t="s">
        <v>4</v>
      </c>
    </row>
    <row r="44" spans="1:10" x14ac:dyDescent="0.2">
      <c r="A44" t="s">
        <v>72</v>
      </c>
      <c r="B44" t="s">
        <v>71</v>
      </c>
      <c r="C44">
        <v>17704</v>
      </c>
      <c r="D44" t="s">
        <v>0</v>
      </c>
      <c r="E44">
        <v>66.367828000000003</v>
      </c>
      <c r="F44" t="s">
        <v>1</v>
      </c>
      <c r="G44">
        <v>12.57108</v>
      </c>
      <c r="H44" t="s">
        <v>47</v>
      </c>
      <c r="I44" t="s">
        <v>3</v>
      </c>
      <c r="J44" t="s">
        <v>4</v>
      </c>
    </row>
    <row r="45" spans="1:10" x14ac:dyDescent="0.2">
      <c r="A45" t="s">
        <v>72</v>
      </c>
      <c r="B45" t="s">
        <v>71</v>
      </c>
      <c r="C45">
        <v>17590</v>
      </c>
      <c r="D45" t="s">
        <v>0</v>
      </c>
      <c r="E45">
        <v>67.557039000000003</v>
      </c>
      <c r="F45" t="s">
        <v>1</v>
      </c>
      <c r="G45">
        <v>10.113322</v>
      </c>
      <c r="H45" t="s">
        <v>48</v>
      </c>
      <c r="I45" t="s">
        <v>3</v>
      </c>
      <c r="J45" t="s">
        <v>4</v>
      </c>
    </row>
    <row r="46" spans="1:10" x14ac:dyDescent="0.2">
      <c r="A46" t="s">
        <v>72</v>
      </c>
      <c r="B46" t="s">
        <v>71</v>
      </c>
      <c r="C46">
        <v>29173</v>
      </c>
      <c r="D46" t="s">
        <v>0</v>
      </c>
      <c r="E46">
        <v>63.214103999999999</v>
      </c>
      <c r="F46" t="s">
        <v>1</v>
      </c>
      <c r="G46">
        <v>13.106526000000001</v>
      </c>
      <c r="H46" t="s">
        <v>49</v>
      </c>
      <c r="I46" t="s">
        <v>3</v>
      </c>
      <c r="J46" t="s">
        <v>4</v>
      </c>
    </row>
    <row r="47" spans="1:10" x14ac:dyDescent="0.2">
      <c r="A47" t="s">
        <v>72</v>
      </c>
      <c r="B47" t="s">
        <v>71</v>
      </c>
      <c r="C47">
        <v>36406</v>
      </c>
      <c r="D47" t="s">
        <v>0</v>
      </c>
      <c r="E47">
        <v>83.856427999999994</v>
      </c>
      <c r="F47" t="s">
        <v>1</v>
      </c>
      <c r="G47">
        <v>16.197108</v>
      </c>
      <c r="H47" t="s">
        <v>50</v>
      </c>
      <c r="I47" t="s">
        <v>3</v>
      </c>
      <c r="J47" t="s">
        <v>4</v>
      </c>
    </row>
    <row r="48" spans="1:10" x14ac:dyDescent="0.2">
      <c r="A48" t="s">
        <v>72</v>
      </c>
      <c r="B48" t="s">
        <v>71</v>
      </c>
      <c r="C48">
        <v>47927</v>
      </c>
      <c r="D48" t="s">
        <v>0</v>
      </c>
      <c r="E48">
        <v>68.344008000000002</v>
      </c>
      <c r="F48" t="s">
        <v>1</v>
      </c>
      <c r="G48">
        <v>18.526143000000001</v>
      </c>
      <c r="H48" t="s">
        <v>51</v>
      </c>
      <c r="I48" t="s">
        <v>3</v>
      </c>
      <c r="J48" t="s">
        <v>4</v>
      </c>
    </row>
    <row r="49" spans="1:10" x14ac:dyDescent="0.2">
      <c r="A49" t="s">
        <v>72</v>
      </c>
      <c r="B49" t="s">
        <v>71</v>
      </c>
      <c r="C49">
        <v>15948</v>
      </c>
      <c r="D49" t="s">
        <v>0</v>
      </c>
      <c r="E49">
        <v>28.832227</v>
      </c>
      <c r="F49" t="s">
        <v>1</v>
      </c>
      <c r="G49">
        <v>9.332535</v>
      </c>
      <c r="H49" t="s">
        <v>52</v>
      </c>
      <c r="I49" t="s">
        <v>3</v>
      </c>
      <c r="J49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49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73</v>
      </c>
      <c r="B1" t="s">
        <v>71</v>
      </c>
      <c r="C1">
        <v>115449</v>
      </c>
      <c r="D1" t="s">
        <v>0</v>
      </c>
      <c r="E1">
        <v>193.11922200000001</v>
      </c>
      <c r="F1" t="s">
        <v>1</v>
      </c>
      <c r="G1">
        <v>43.347414000000001</v>
      </c>
      <c r="H1" t="s">
        <v>2</v>
      </c>
      <c r="I1" t="s">
        <v>3</v>
      </c>
      <c r="J1" t="s">
        <v>4</v>
      </c>
    </row>
    <row r="2" spans="1:10" x14ac:dyDescent="0.2">
      <c r="A2" t="s">
        <v>73</v>
      </c>
      <c r="B2" t="s">
        <v>71</v>
      </c>
      <c r="C2">
        <v>79011</v>
      </c>
      <c r="D2" t="s">
        <v>0</v>
      </c>
      <c r="E2">
        <v>136.30681100000001</v>
      </c>
      <c r="F2" t="s">
        <v>1</v>
      </c>
      <c r="G2">
        <v>25.671537000000001</v>
      </c>
      <c r="H2" t="s">
        <v>5</v>
      </c>
      <c r="I2" t="s">
        <v>3</v>
      </c>
      <c r="J2" t="s">
        <v>4</v>
      </c>
    </row>
    <row r="3" spans="1:10" x14ac:dyDescent="0.2">
      <c r="A3" t="s">
        <v>73</v>
      </c>
      <c r="B3" t="s">
        <v>71</v>
      </c>
      <c r="C3">
        <v>82837</v>
      </c>
      <c r="D3" t="s">
        <v>0</v>
      </c>
      <c r="E3">
        <v>132.05588599999999</v>
      </c>
      <c r="F3" t="s">
        <v>1</v>
      </c>
      <c r="G3">
        <v>27.578593999999999</v>
      </c>
      <c r="H3" t="s">
        <v>6</v>
      </c>
      <c r="I3" t="s">
        <v>3</v>
      </c>
      <c r="J3" t="s">
        <v>4</v>
      </c>
    </row>
    <row r="4" spans="1:10" x14ac:dyDescent="0.2">
      <c r="A4" t="s">
        <v>73</v>
      </c>
      <c r="B4" t="s">
        <v>71</v>
      </c>
      <c r="C4">
        <v>201241</v>
      </c>
      <c r="D4" t="s">
        <v>0</v>
      </c>
      <c r="E4">
        <v>273.11603000000002</v>
      </c>
      <c r="F4" t="s">
        <v>1</v>
      </c>
      <c r="G4">
        <v>52.131101999999998</v>
      </c>
      <c r="H4" t="s">
        <v>7</v>
      </c>
      <c r="I4" t="s">
        <v>3</v>
      </c>
      <c r="J4" t="s">
        <v>4</v>
      </c>
    </row>
    <row r="5" spans="1:10" x14ac:dyDescent="0.2">
      <c r="A5" t="s">
        <v>73</v>
      </c>
      <c r="B5" t="s">
        <v>71</v>
      </c>
      <c r="C5">
        <v>61516</v>
      </c>
      <c r="D5" t="s">
        <v>0</v>
      </c>
      <c r="E5">
        <v>90.931580999999994</v>
      </c>
      <c r="F5" t="s">
        <v>1</v>
      </c>
      <c r="G5">
        <v>26.868016000000001</v>
      </c>
      <c r="H5" t="s">
        <v>8</v>
      </c>
      <c r="I5" t="s">
        <v>3</v>
      </c>
      <c r="J5" t="s">
        <v>4</v>
      </c>
    </row>
    <row r="6" spans="1:10" x14ac:dyDescent="0.2">
      <c r="A6" t="s">
        <v>73</v>
      </c>
      <c r="B6" t="s">
        <v>71</v>
      </c>
      <c r="C6">
        <v>22354</v>
      </c>
      <c r="D6" t="s">
        <v>0</v>
      </c>
      <c r="E6">
        <v>32.259677000000003</v>
      </c>
      <c r="F6" t="s">
        <v>1</v>
      </c>
      <c r="G6">
        <v>12.336004000000001</v>
      </c>
      <c r="H6" t="s">
        <v>9</v>
      </c>
      <c r="I6" t="s">
        <v>3</v>
      </c>
      <c r="J6" t="s">
        <v>4</v>
      </c>
    </row>
    <row r="7" spans="1:10" x14ac:dyDescent="0.2">
      <c r="A7" t="s">
        <v>73</v>
      </c>
      <c r="B7" t="s">
        <v>71</v>
      </c>
      <c r="C7">
        <v>137712</v>
      </c>
      <c r="D7" t="s">
        <v>0</v>
      </c>
      <c r="E7">
        <v>193.716578</v>
      </c>
      <c r="F7" t="s">
        <v>1</v>
      </c>
      <c r="G7">
        <v>45.078249999999997</v>
      </c>
      <c r="H7" t="s">
        <v>10</v>
      </c>
      <c r="I7" t="s">
        <v>3</v>
      </c>
      <c r="J7" t="s">
        <v>4</v>
      </c>
    </row>
    <row r="8" spans="1:10" x14ac:dyDescent="0.2">
      <c r="A8" t="s">
        <v>73</v>
      </c>
      <c r="B8" t="s">
        <v>71</v>
      </c>
      <c r="C8">
        <v>51566</v>
      </c>
      <c r="D8" t="s">
        <v>0</v>
      </c>
      <c r="E8">
        <v>103.133938</v>
      </c>
      <c r="F8" t="s">
        <v>1</v>
      </c>
      <c r="G8">
        <v>19.003857</v>
      </c>
      <c r="H8" t="s">
        <v>11</v>
      </c>
      <c r="I8" t="s">
        <v>3</v>
      </c>
      <c r="J8" t="s">
        <v>4</v>
      </c>
    </row>
    <row r="9" spans="1:10" x14ac:dyDescent="0.2">
      <c r="A9" t="s">
        <v>73</v>
      </c>
      <c r="B9" t="s">
        <v>71</v>
      </c>
      <c r="C9">
        <v>33986</v>
      </c>
      <c r="D9" t="s">
        <v>0</v>
      </c>
      <c r="E9">
        <v>62.849997999999999</v>
      </c>
      <c r="F9" t="s">
        <v>1</v>
      </c>
      <c r="G9">
        <v>19.569134999999999</v>
      </c>
      <c r="H9" t="s">
        <v>12</v>
      </c>
      <c r="I9" t="s">
        <v>3</v>
      </c>
      <c r="J9" t="s">
        <v>4</v>
      </c>
    </row>
    <row r="10" spans="1:10" x14ac:dyDescent="0.2">
      <c r="A10" t="s">
        <v>73</v>
      </c>
      <c r="B10" t="s">
        <v>71</v>
      </c>
      <c r="C10">
        <v>79706</v>
      </c>
      <c r="D10" t="s">
        <v>0</v>
      </c>
      <c r="E10">
        <v>111.886945</v>
      </c>
      <c r="F10" t="s">
        <v>1</v>
      </c>
      <c r="G10">
        <v>27.786214999999999</v>
      </c>
      <c r="H10" t="s">
        <v>13</v>
      </c>
      <c r="I10" t="s">
        <v>3</v>
      </c>
      <c r="J10" t="s">
        <v>4</v>
      </c>
    </row>
    <row r="11" spans="1:10" x14ac:dyDescent="0.2">
      <c r="A11" t="s">
        <v>73</v>
      </c>
      <c r="B11" t="s">
        <v>71</v>
      </c>
      <c r="C11">
        <v>2082</v>
      </c>
      <c r="D11" t="s">
        <v>0</v>
      </c>
      <c r="E11">
        <v>5.2129070000000004</v>
      </c>
      <c r="F11" t="s">
        <v>1</v>
      </c>
      <c r="G11">
        <v>3.2331979999999998</v>
      </c>
      <c r="H11" t="s">
        <v>14</v>
      </c>
      <c r="I11" t="s">
        <v>3</v>
      </c>
      <c r="J11" t="s">
        <v>4</v>
      </c>
    </row>
    <row r="12" spans="1:10" x14ac:dyDescent="0.2">
      <c r="A12" t="s">
        <v>73</v>
      </c>
      <c r="B12" t="s">
        <v>71</v>
      </c>
      <c r="C12">
        <v>37604</v>
      </c>
      <c r="D12" t="s">
        <v>0</v>
      </c>
      <c r="E12">
        <v>73.257936000000001</v>
      </c>
      <c r="F12" t="s">
        <v>1</v>
      </c>
      <c r="G12">
        <v>19.410796000000001</v>
      </c>
      <c r="H12" t="s">
        <v>15</v>
      </c>
      <c r="I12" t="s">
        <v>3</v>
      </c>
      <c r="J12" t="s">
        <v>4</v>
      </c>
    </row>
    <row r="13" spans="1:10" x14ac:dyDescent="0.2">
      <c r="A13" t="s">
        <v>73</v>
      </c>
      <c r="B13" t="s">
        <v>71</v>
      </c>
      <c r="C13">
        <v>33529</v>
      </c>
      <c r="D13" t="s">
        <v>0</v>
      </c>
      <c r="E13">
        <v>69.276799999999994</v>
      </c>
      <c r="F13" t="s">
        <v>1</v>
      </c>
      <c r="G13">
        <v>20.160070999999999</v>
      </c>
      <c r="H13" t="s">
        <v>16</v>
      </c>
      <c r="I13" t="s">
        <v>3</v>
      </c>
      <c r="J13" t="s">
        <v>4</v>
      </c>
    </row>
    <row r="14" spans="1:10" x14ac:dyDescent="0.2">
      <c r="A14" t="s">
        <v>73</v>
      </c>
      <c r="B14" t="s">
        <v>71</v>
      </c>
      <c r="C14">
        <v>17829</v>
      </c>
      <c r="D14" t="s">
        <v>0</v>
      </c>
      <c r="E14">
        <v>47.476323999999998</v>
      </c>
      <c r="F14" t="s">
        <v>1</v>
      </c>
      <c r="G14">
        <v>12.705366</v>
      </c>
      <c r="H14" t="s">
        <v>17</v>
      </c>
      <c r="I14" t="s">
        <v>3</v>
      </c>
      <c r="J14" t="s">
        <v>4</v>
      </c>
    </row>
    <row r="15" spans="1:10" x14ac:dyDescent="0.2">
      <c r="A15" t="s">
        <v>73</v>
      </c>
      <c r="B15" t="s">
        <v>71</v>
      </c>
      <c r="C15">
        <v>35795</v>
      </c>
      <c r="D15" t="s">
        <v>0</v>
      </c>
      <c r="E15">
        <v>76.717495</v>
      </c>
      <c r="F15" t="s">
        <v>1</v>
      </c>
      <c r="G15">
        <v>20.104942000000001</v>
      </c>
      <c r="H15" t="s">
        <v>18</v>
      </c>
      <c r="I15" t="s">
        <v>3</v>
      </c>
      <c r="J15" t="s">
        <v>4</v>
      </c>
    </row>
    <row r="16" spans="1:10" x14ac:dyDescent="0.2">
      <c r="A16" t="s">
        <v>73</v>
      </c>
      <c r="B16" t="s">
        <v>71</v>
      </c>
      <c r="C16">
        <v>63474</v>
      </c>
      <c r="D16" t="s">
        <v>0</v>
      </c>
      <c r="E16">
        <v>103.89109000000001</v>
      </c>
      <c r="F16" t="s">
        <v>1</v>
      </c>
      <c r="G16">
        <v>33.393574999999998</v>
      </c>
      <c r="H16" t="s">
        <v>19</v>
      </c>
      <c r="I16" t="s">
        <v>3</v>
      </c>
      <c r="J16" t="s">
        <v>4</v>
      </c>
    </row>
    <row r="17" spans="1:10" x14ac:dyDescent="0.2">
      <c r="A17" t="s">
        <v>73</v>
      </c>
      <c r="B17" t="s">
        <v>71</v>
      </c>
      <c r="C17">
        <v>97606</v>
      </c>
      <c r="D17" t="s">
        <v>0</v>
      </c>
      <c r="E17">
        <v>150.05402900000001</v>
      </c>
      <c r="F17" t="s">
        <v>1</v>
      </c>
      <c r="G17">
        <v>42.289037</v>
      </c>
      <c r="H17" t="s">
        <v>20</v>
      </c>
      <c r="I17" t="s">
        <v>3</v>
      </c>
      <c r="J17" t="s">
        <v>4</v>
      </c>
    </row>
    <row r="18" spans="1:10" x14ac:dyDescent="0.2">
      <c r="A18" t="s">
        <v>73</v>
      </c>
      <c r="B18" t="s">
        <v>71</v>
      </c>
      <c r="C18">
        <v>27484</v>
      </c>
      <c r="D18" t="s">
        <v>0</v>
      </c>
      <c r="E18">
        <v>58.168494000000003</v>
      </c>
      <c r="F18" t="s">
        <v>1</v>
      </c>
      <c r="G18">
        <v>16.885522000000002</v>
      </c>
      <c r="H18" t="s">
        <v>21</v>
      </c>
      <c r="I18" t="s">
        <v>3</v>
      </c>
      <c r="J18" t="s">
        <v>4</v>
      </c>
    </row>
    <row r="19" spans="1:10" x14ac:dyDescent="0.2">
      <c r="A19" t="s">
        <v>73</v>
      </c>
      <c r="B19" t="s">
        <v>71</v>
      </c>
      <c r="C19">
        <v>48023</v>
      </c>
      <c r="D19" t="s">
        <v>0</v>
      </c>
      <c r="E19">
        <v>98.060485</v>
      </c>
      <c r="F19" t="s">
        <v>1</v>
      </c>
      <c r="G19">
        <v>27.186966000000002</v>
      </c>
      <c r="H19" t="s">
        <v>22</v>
      </c>
      <c r="I19" t="s">
        <v>3</v>
      </c>
      <c r="J19" t="s">
        <v>4</v>
      </c>
    </row>
    <row r="20" spans="1:10" x14ac:dyDescent="0.2">
      <c r="A20" t="s">
        <v>73</v>
      </c>
      <c r="B20" t="s">
        <v>71</v>
      </c>
      <c r="C20">
        <v>39681</v>
      </c>
      <c r="D20" t="s">
        <v>0</v>
      </c>
      <c r="E20">
        <v>74.097677000000004</v>
      </c>
      <c r="F20" t="s">
        <v>1</v>
      </c>
      <c r="G20">
        <v>21.542038999999999</v>
      </c>
      <c r="H20" t="s">
        <v>23</v>
      </c>
      <c r="I20" t="s">
        <v>3</v>
      </c>
      <c r="J20" t="s">
        <v>4</v>
      </c>
    </row>
    <row r="21" spans="1:10" x14ac:dyDescent="0.2">
      <c r="A21" t="s">
        <v>73</v>
      </c>
      <c r="B21" t="s">
        <v>71</v>
      </c>
      <c r="C21">
        <v>20421</v>
      </c>
      <c r="D21" t="s">
        <v>0</v>
      </c>
      <c r="E21">
        <v>41.316899999999997</v>
      </c>
      <c r="F21" t="s">
        <v>1</v>
      </c>
      <c r="G21">
        <v>15.325455</v>
      </c>
      <c r="H21" t="s">
        <v>24</v>
      </c>
      <c r="I21" t="s">
        <v>3</v>
      </c>
      <c r="J21" t="s">
        <v>4</v>
      </c>
    </row>
    <row r="22" spans="1:10" x14ac:dyDescent="0.2">
      <c r="A22" t="s">
        <v>73</v>
      </c>
      <c r="B22" t="s">
        <v>71</v>
      </c>
      <c r="C22">
        <v>14799</v>
      </c>
      <c r="D22" t="s">
        <v>0</v>
      </c>
      <c r="E22">
        <v>32.186107</v>
      </c>
      <c r="F22" t="s">
        <v>1</v>
      </c>
      <c r="G22">
        <v>10.018207</v>
      </c>
      <c r="H22" t="s">
        <v>25</v>
      </c>
      <c r="I22" t="s">
        <v>3</v>
      </c>
      <c r="J22" t="s">
        <v>4</v>
      </c>
    </row>
    <row r="23" spans="1:10" x14ac:dyDescent="0.2">
      <c r="A23" t="s">
        <v>73</v>
      </c>
      <c r="B23" t="s">
        <v>71</v>
      </c>
      <c r="C23">
        <v>20211</v>
      </c>
      <c r="D23" t="s">
        <v>0</v>
      </c>
      <c r="E23">
        <v>50.153806000000003</v>
      </c>
      <c r="F23" t="s">
        <v>1</v>
      </c>
      <c r="G23">
        <v>13.448442</v>
      </c>
      <c r="H23" t="s">
        <v>26</v>
      </c>
      <c r="I23" t="s">
        <v>3</v>
      </c>
      <c r="J23" t="s">
        <v>4</v>
      </c>
    </row>
    <row r="24" spans="1:10" x14ac:dyDescent="0.2">
      <c r="A24" t="s">
        <v>73</v>
      </c>
      <c r="B24" t="s">
        <v>71</v>
      </c>
      <c r="C24">
        <v>38029</v>
      </c>
      <c r="D24" t="s">
        <v>0</v>
      </c>
      <c r="E24">
        <v>64.798366000000001</v>
      </c>
      <c r="F24" t="s">
        <v>1</v>
      </c>
      <c r="G24">
        <v>19.746842000000001</v>
      </c>
      <c r="H24" t="s">
        <v>27</v>
      </c>
      <c r="I24" t="s">
        <v>3</v>
      </c>
      <c r="J24" t="s">
        <v>4</v>
      </c>
    </row>
    <row r="25" spans="1:10" x14ac:dyDescent="0.2">
      <c r="A25" t="s">
        <v>73</v>
      </c>
      <c r="B25" t="s">
        <v>71</v>
      </c>
      <c r="C25">
        <v>124106</v>
      </c>
      <c r="D25" t="s">
        <v>0</v>
      </c>
      <c r="E25">
        <v>217.35543699999999</v>
      </c>
      <c r="F25" t="s">
        <v>1</v>
      </c>
      <c r="G25">
        <v>48.436566999999997</v>
      </c>
      <c r="H25" t="s">
        <v>28</v>
      </c>
      <c r="I25" t="s">
        <v>3</v>
      </c>
      <c r="J25" t="s">
        <v>4</v>
      </c>
    </row>
    <row r="26" spans="1:10" x14ac:dyDescent="0.2">
      <c r="A26" t="s">
        <v>73</v>
      </c>
      <c r="B26" t="s">
        <v>71</v>
      </c>
      <c r="C26">
        <v>31277</v>
      </c>
      <c r="D26" t="s">
        <v>0</v>
      </c>
      <c r="E26">
        <v>48.139139999999998</v>
      </c>
      <c r="F26" t="s">
        <v>1</v>
      </c>
      <c r="G26">
        <v>15.125076999999999</v>
      </c>
      <c r="H26" t="s">
        <v>29</v>
      </c>
      <c r="I26" t="s">
        <v>3</v>
      </c>
      <c r="J26" t="s">
        <v>4</v>
      </c>
    </row>
    <row r="27" spans="1:10" x14ac:dyDescent="0.2">
      <c r="A27" t="s">
        <v>73</v>
      </c>
      <c r="B27" t="s">
        <v>71</v>
      </c>
      <c r="C27">
        <v>34950</v>
      </c>
      <c r="D27" t="s">
        <v>0</v>
      </c>
      <c r="E27">
        <v>64.391461000000007</v>
      </c>
      <c r="F27" t="s">
        <v>1</v>
      </c>
      <c r="G27">
        <v>15.264739000000001</v>
      </c>
      <c r="H27" t="s">
        <v>30</v>
      </c>
      <c r="I27" t="s">
        <v>3</v>
      </c>
      <c r="J27" t="s">
        <v>4</v>
      </c>
    </row>
    <row r="28" spans="1:10" x14ac:dyDescent="0.2">
      <c r="A28" t="s">
        <v>73</v>
      </c>
      <c r="B28" t="s">
        <v>71</v>
      </c>
      <c r="C28">
        <v>14254</v>
      </c>
      <c r="D28" t="s">
        <v>0</v>
      </c>
      <c r="E28">
        <v>28.680686999999999</v>
      </c>
      <c r="F28" t="s">
        <v>1</v>
      </c>
      <c r="G28">
        <v>7.447686</v>
      </c>
      <c r="H28" t="s">
        <v>31</v>
      </c>
      <c r="I28" t="s">
        <v>3</v>
      </c>
      <c r="J28" t="s">
        <v>4</v>
      </c>
    </row>
    <row r="29" spans="1:10" x14ac:dyDescent="0.2">
      <c r="A29" t="s">
        <v>73</v>
      </c>
      <c r="B29" t="s">
        <v>71</v>
      </c>
      <c r="C29">
        <v>30242</v>
      </c>
      <c r="D29" t="s">
        <v>0</v>
      </c>
      <c r="E29">
        <v>72.310666999999995</v>
      </c>
      <c r="F29" t="s">
        <v>1</v>
      </c>
      <c r="G29">
        <v>11.296193000000001</v>
      </c>
      <c r="H29" t="s">
        <v>32</v>
      </c>
      <c r="I29" t="s">
        <v>3</v>
      </c>
      <c r="J29" t="s">
        <v>4</v>
      </c>
    </row>
    <row r="30" spans="1:10" x14ac:dyDescent="0.2">
      <c r="A30" t="s">
        <v>73</v>
      </c>
      <c r="B30" t="s">
        <v>71</v>
      </c>
      <c r="C30">
        <v>10794</v>
      </c>
      <c r="D30" t="s">
        <v>0</v>
      </c>
      <c r="E30">
        <v>23.745280999999999</v>
      </c>
      <c r="F30" t="s">
        <v>1</v>
      </c>
      <c r="G30">
        <v>6.784662</v>
      </c>
      <c r="H30" t="s">
        <v>33</v>
      </c>
      <c r="I30" t="s">
        <v>3</v>
      </c>
      <c r="J30" t="s">
        <v>4</v>
      </c>
    </row>
    <row r="31" spans="1:10" x14ac:dyDescent="0.2">
      <c r="A31" t="s">
        <v>73</v>
      </c>
      <c r="B31" t="s">
        <v>71</v>
      </c>
      <c r="C31">
        <v>7703</v>
      </c>
      <c r="D31" t="s">
        <v>0</v>
      </c>
      <c r="E31">
        <v>23.151240000000001</v>
      </c>
      <c r="F31" t="s">
        <v>1</v>
      </c>
      <c r="G31">
        <v>6.1870560000000001</v>
      </c>
      <c r="H31" t="s">
        <v>34</v>
      </c>
      <c r="I31" t="s">
        <v>3</v>
      </c>
      <c r="J31" t="s">
        <v>4</v>
      </c>
    </row>
    <row r="32" spans="1:10" x14ac:dyDescent="0.2">
      <c r="A32" t="s">
        <v>73</v>
      </c>
      <c r="B32" t="s">
        <v>71</v>
      </c>
      <c r="C32">
        <v>12237</v>
      </c>
      <c r="D32" t="s">
        <v>0</v>
      </c>
      <c r="E32">
        <v>24.714594999999999</v>
      </c>
      <c r="F32" t="s">
        <v>1</v>
      </c>
      <c r="G32">
        <v>6.7643779999999998</v>
      </c>
      <c r="H32" t="s">
        <v>35</v>
      </c>
      <c r="I32" t="s">
        <v>3</v>
      </c>
      <c r="J32" t="s">
        <v>4</v>
      </c>
    </row>
    <row r="33" spans="1:10" x14ac:dyDescent="0.2">
      <c r="A33" t="s">
        <v>73</v>
      </c>
      <c r="B33" t="s">
        <v>71</v>
      </c>
      <c r="C33">
        <v>23498</v>
      </c>
      <c r="D33" t="s">
        <v>0</v>
      </c>
      <c r="E33">
        <v>35.923414999999999</v>
      </c>
      <c r="F33" t="s">
        <v>1</v>
      </c>
      <c r="G33">
        <v>10.705333</v>
      </c>
      <c r="H33" t="s">
        <v>36</v>
      </c>
      <c r="I33" t="s">
        <v>3</v>
      </c>
      <c r="J33" t="s">
        <v>4</v>
      </c>
    </row>
    <row r="34" spans="1:10" x14ac:dyDescent="0.2">
      <c r="A34" t="s">
        <v>73</v>
      </c>
      <c r="B34" t="s">
        <v>71</v>
      </c>
      <c r="C34">
        <v>18384</v>
      </c>
      <c r="D34" t="s">
        <v>0</v>
      </c>
      <c r="E34">
        <v>39.018717000000002</v>
      </c>
      <c r="F34" t="s">
        <v>1</v>
      </c>
      <c r="G34">
        <v>8.5570229999999992</v>
      </c>
      <c r="H34" t="s">
        <v>37</v>
      </c>
      <c r="I34" t="s">
        <v>3</v>
      </c>
      <c r="J34" t="s">
        <v>4</v>
      </c>
    </row>
    <row r="35" spans="1:10" x14ac:dyDescent="0.2">
      <c r="A35" t="s">
        <v>73</v>
      </c>
      <c r="B35" t="s">
        <v>71</v>
      </c>
      <c r="C35">
        <v>38642</v>
      </c>
      <c r="D35" t="s">
        <v>0</v>
      </c>
      <c r="E35">
        <v>60.250216999999999</v>
      </c>
      <c r="F35" t="s">
        <v>1</v>
      </c>
      <c r="G35">
        <v>15.825599</v>
      </c>
      <c r="H35" t="s">
        <v>38</v>
      </c>
      <c r="I35" t="s">
        <v>3</v>
      </c>
      <c r="J35" t="s">
        <v>4</v>
      </c>
    </row>
    <row r="36" spans="1:10" x14ac:dyDescent="0.2">
      <c r="A36" t="s">
        <v>73</v>
      </c>
      <c r="B36" t="s">
        <v>71</v>
      </c>
      <c r="C36">
        <v>33562</v>
      </c>
      <c r="D36" t="s">
        <v>0</v>
      </c>
      <c r="E36">
        <v>50.125107999999997</v>
      </c>
      <c r="F36" t="s">
        <v>1</v>
      </c>
      <c r="G36">
        <v>15.219704999999999</v>
      </c>
      <c r="H36" t="s">
        <v>39</v>
      </c>
      <c r="I36" t="s">
        <v>3</v>
      </c>
      <c r="J36" t="s">
        <v>4</v>
      </c>
    </row>
    <row r="37" spans="1:10" x14ac:dyDescent="0.2">
      <c r="A37" t="s">
        <v>73</v>
      </c>
      <c r="B37" t="s">
        <v>71</v>
      </c>
      <c r="C37">
        <v>9092</v>
      </c>
      <c r="D37" t="s">
        <v>0</v>
      </c>
      <c r="E37">
        <v>25.060843999999999</v>
      </c>
      <c r="F37" t="s">
        <v>1</v>
      </c>
      <c r="G37">
        <v>7.4809729999999997</v>
      </c>
      <c r="H37" t="s">
        <v>40</v>
      </c>
      <c r="I37" t="s">
        <v>3</v>
      </c>
      <c r="J37" t="s">
        <v>4</v>
      </c>
    </row>
    <row r="38" spans="1:10" x14ac:dyDescent="0.2">
      <c r="A38" t="s">
        <v>73</v>
      </c>
      <c r="B38" t="s">
        <v>71</v>
      </c>
      <c r="C38">
        <v>34351</v>
      </c>
      <c r="D38" t="s">
        <v>0</v>
      </c>
      <c r="E38">
        <v>50.143255000000003</v>
      </c>
      <c r="F38" t="s">
        <v>1</v>
      </c>
      <c r="G38">
        <v>15.441753</v>
      </c>
      <c r="H38" t="s">
        <v>41</v>
      </c>
      <c r="I38" t="s">
        <v>3</v>
      </c>
      <c r="J38" t="s">
        <v>4</v>
      </c>
    </row>
    <row r="39" spans="1:10" x14ac:dyDescent="0.2">
      <c r="A39" t="s">
        <v>73</v>
      </c>
      <c r="B39" t="s">
        <v>71</v>
      </c>
      <c r="C39">
        <v>76513</v>
      </c>
      <c r="D39" t="s">
        <v>0</v>
      </c>
      <c r="E39">
        <v>110.421193</v>
      </c>
      <c r="F39" t="s">
        <v>1</v>
      </c>
      <c r="G39">
        <v>25.203665000000001</v>
      </c>
      <c r="H39" t="s">
        <v>42</v>
      </c>
      <c r="I39" t="s">
        <v>3</v>
      </c>
      <c r="J39" t="s">
        <v>4</v>
      </c>
    </row>
    <row r="40" spans="1:10" x14ac:dyDescent="0.2">
      <c r="A40" t="s">
        <v>73</v>
      </c>
      <c r="B40" t="s">
        <v>71</v>
      </c>
      <c r="C40">
        <v>107890</v>
      </c>
      <c r="D40" t="s">
        <v>0</v>
      </c>
      <c r="E40">
        <v>146.873513</v>
      </c>
      <c r="F40" t="s">
        <v>1</v>
      </c>
      <c r="G40">
        <v>35.640459</v>
      </c>
      <c r="H40" t="s">
        <v>43</v>
      </c>
      <c r="I40" t="s">
        <v>3</v>
      </c>
      <c r="J40" t="s">
        <v>4</v>
      </c>
    </row>
    <row r="41" spans="1:10" x14ac:dyDescent="0.2">
      <c r="A41" t="s">
        <v>73</v>
      </c>
      <c r="B41" t="s">
        <v>71</v>
      </c>
      <c r="C41">
        <v>25498</v>
      </c>
      <c r="D41" t="s">
        <v>0</v>
      </c>
      <c r="E41">
        <v>34.464680999999999</v>
      </c>
      <c r="F41" t="s">
        <v>1</v>
      </c>
      <c r="G41">
        <v>12.016942</v>
      </c>
      <c r="H41" t="s">
        <v>44</v>
      </c>
      <c r="I41" t="s">
        <v>3</v>
      </c>
      <c r="J41" t="s">
        <v>4</v>
      </c>
    </row>
    <row r="42" spans="1:10" x14ac:dyDescent="0.2">
      <c r="A42" t="s">
        <v>73</v>
      </c>
      <c r="B42" t="s">
        <v>71</v>
      </c>
      <c r="C42">
        <v>35604</v>
      </c>
      <c r="D42" t="s">
        <v>0</v>
      </c>
      <c r="E42">
        <v>72.189752999999996</v>
      </c>
      <c r="F42" t="s">
        <v>1</v>
      </c>
      <c r="G42">
        <v>15.770381</v>
      </c>
      <c r="H42" t="s">
        <v>45</v>
      </c>
      <c r="I42" t="s">
        <v>3</v>
      </c>
      <c r="J42" t="s">
        <v>4</v>
      </c>
    </row>
    <row r="43" spans="1:10" x14ac:dyDescent="0.2">
      <c r="A43" t="s">
        <v>73</v>
      </c>
      <c r="B43" t="s">
        <v>71</v>
      </c>
      <c r="C43">
        <v>15987</v>
      </c>
      <c r="D43" t="s">
        <v>0</v>
      </c>
      <c r="E43">
        <v>39.717301999999997</v>
      </c>
      <c r="F43" t="s">
        <v>1</v>
      </c>
      <c r="G43">
        <v>8.9529169999999993</v>
      </c>
      <c r="H43" t="s">
        <v>46</v>
      </c>
      <c r="I43" t="s">
        <v>3</v>
      </c>
      <c r="J43" t="s">
        <v>4</v>
      </c>
    </row>
    <row r="44" spans="1:10" x14ac:dyDescent="0.2">
      <c r="A44" t="s">
        <v>73</v>
      </c>
      <c r="B44" t="s">
        <v>71</v>
      </c>
      <c r="C44">
        <v>17704</v>
      </c>
      <c r="D44" t="s">
        <v>0</v>
      </c>
      <c r="E44">
        <v>41.910936999999997</v>
      </c>
      <c r="F44" t="s">
        <v>1</v>
      </c>
      <c r="G44">
        <v>8.6081040000000009</v>
      </c>
      <c r="H44" t="s">
        <v>47</v>
      </c>
      <c r="I44" t="s">
        <v>3</v>
      </c>
      <c r="J44" t="s">
        <v>4</v>
      </c>
    </row>
    <row r="45" spans="1:10" x14ac:dyDescent="0.2">
      <c r="A45" t="s">
        <v>73</v>
      </c>
      <c r="B45" t="s">
        <v>71</v>
      </c>
      <c r="C45">
        <v>17590</v>
      </c>
      <c r="D45" t="s">
        <v>0</v>
      </c>
      <c r="E45">
        <v>39.833601000000002</v>
      </c>
      <c r="F45" t="s">
        <v>1</v>
      </c>
      <c r="G45">
        <v>8.4125960000000006</v>
      </c>
      <c r="H45" t="s">
        <v>48</v>
      </c>
      <c r="I45" t="s">
        <v>3</v>
      </c>
      <c r="J45" t="s">
        <v>4</v>
      </c>
    </row>
    <row r="46" spans="1:10" x14ac:dyDescent="0.2">
      <c r="A46" t="s">
        <v>73</v>
      </c>
      <c r="B46" t="s">
        <v>71</v>
      </c>
      <c r="C46">
        <v>29173</v>
      </c>
      <c r="D46" t="s">
        <v>0</v>
      </c>
      <c r="E46">
        <v>49.444191000000004</v>
      </c>
      <c r="F46" t="s">
        <v>1</v>
      </c>
      <c r="G46">
        <v>11.178224</v>
      </c>
      <c r="H46" t="s">
        <v>49</v>
      </c>
      <c r="I46" t="s">
        <v>3</v>
      </c>
      <c r="J46" t="s">
        <v>4</v>
      </c>
    </row>
    <row r="47" spans="1:10" x14ac:dyDescent="0.2">
      <c r="A47" t="s">
        <v>73</v>
      </c>
      <c r="B47" t="s">
        <v>71</v>
      </c>
      <c r="C47">
        <v>36406</v>
      </c>
      <c r="D47" t="s">
        <v>0</v>
      </c>
      <c r="E47">
        <v>85.947704000000002</v>
      </c>
      <c r="F47" t="s">
        <v>1</v>
      </c>
      <c r="G47">
        <v>14.736293999999999</v>
      </c>
      <c r="H47" t="s">
        <v>50</v>
      </c>
      <c r="I47" t="s">
        <v>3</v>
      </c>
      <c r="J47" t="s">
        <v>4</v>
      </c>
    </row>
    <row r="48" spans="1:10" x14ac:dyDescent="0.2">
      <c r="A48" t="s">
        <v>73</v>
      </c>
      <c r="B48" t="s">
        <v>71</v>
      </c>
      <c r="C48">
        <v>47927</v>
      </c>
      <c r="D48" t="s">
        <v>0</v>
      </c>
      <c r="E48">
        <v>53.140034</v>
      </c>
      <c r="F48" t="s">
        <v>1</v>
      </c>
      <c r="G48">
        <v>17.662367</v>
      </c>
      <c r="H48" t="s">
        <v>51</v>
      </c>
      <c r="I48" t="s">
        <v>3</v>
      </c>
      <c r="J48" t="s">
        <v>4</v>
      </c>
    </row>
    <row r="49" spans="1:10" x14ac:dyDescent="0.2">
      <c r="A49" t="s">
        <v>73</v>
      </c>
      <c r="B49" t="s">
        <v>71</v>
      </c>
      <c r="C49">
        <v>15948</v>
      </c>
      <c r="D49" t="s">
        <v>0</v>
      </c>
      <c r="E49">
        <v>25.24973</v>
      </c>
      <c r="F49" t="s">
        <v>1</v>
      </c>
      <c r="G49">
        <v>8.028022</v>
      </c>
      <c r="H49" t="s">
        <v>52</v>
      </c>
      <c r="I49" t="s">
        <v>3</v>
      </c>
      <c r="J4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49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74</v>
      </c>
      <c r="B1" t="s">
        <v>71</v>
      </c>
      <c r="C1">
        <v>115449</v>
      </c>
      <c r="D1" t="s">
        <v>0</v>
      </c>
      <c r="E1">
        <v>187.16838799999999</v>
      </c>
      <c r="F1" t="s">
        <v>1</v>
      </c>
      <c r="G1">
        <v>32.445166</v>
      </c>
      <c r="H1" t="s">
        <v>2</v>
      </c>
      <c r="I1" t="s">
        <v>3</v>
      </c>
      <c r="J1" t="s">
        <v>4</v>
      </c>
    </row>
    <row r="2" spans="1:10" x14ac:dyDescent="0.2">
      <c r="A2" t="s">
        <v>74</v>
      </c>
      <c r="B2" t="s">
        <v>71</v>
      </c>
      <c r="C2">
        <v>79011</v>
      </c>
      <c r="D2" t="s">
        <v>0</v>
      </c>
      <c r="E2">
        <v>115.625696</v>
      </c>
      <c r="F2" t="s">
        <v>1</v>
      </c>
      <c r="G2">
        <v>28.829342</v>
      </c>
      <c r="H2" t="s">
        <v>5</v>
      </c>
      <c r="I2" t="s">
        <v>3</v>
      </c>
      <c r="J2" t="s">
        <v>4</v>
      </c>
    </row>
    <row r="3" spans="1:10" x14ac:dyDescent="0.2">
      <c r="A3" t="s">
        <v>74</v>
      </c>
      <c r="B3" t="s">
        <v>71</v>
      </c>
      <c r="C3">
        <v>82837</v>
      </c>
      <c r="D3" t="s">
        <v>0</v>
      </c>
      <c r="E3">
        <v>126.44582</v>
      </c>
      <c r="F3" t="s">
        <v>1</v>
      </c>
      <c r="G3">
        <v>29.538889999999999</v>
      </c>
      <c r="H3" t="s">
        <v>6</v>
      </c>
      <c r="I3" t="s">
        <v>3</v>
      </c>
      <c r="J3" t="s">
        <v>4</v>
      </c>
    </row>
    <row r="4" spans="1:10" x14ac:dyDescent="0.2">
      <c r="A4" t="s">
        <v>74</v>
      </c>
      <c r="B4" t="s">
        <v>71</v>
      </c>
      <c r="C4">
        <v>201241</v>
      </c>
      <c r="D4" t="s">
        <v>0</v>
      </c>
      <c r="E4">
        <v>315.547753</v>
      </c>
      <c r="F4" t="s">
        <v>1</v>
      </c>
      <c r="G4">
        <v>48.174109999999999</v>
      </c>
      <c r="H4" t="s">
        <v>7</v>
      </c>
      <c r="I4" t="s">
        <v>3</v>
      </c>
      <c r="J4" t="s">
        <v>4</v>
      </c>
    </row>
    <row r="5" spans="1:10" x14ac:dyDescent="0.2">
      <c r="A5" t="s">
        <v>74</v>
      </c>
      <c r="B5" t="s">
        <v>71</v>
      </c>
      <c r="C5">
        <v>61516</v>
      </c>
      <c r="D5" t="s">
        <v>0</v>
      </c>
      <c r="E5">
        <v>94.386223000000001</v>
      </c>
      <c r="F5" t="s">
        <v>1</v>
      </c>
      <c r="G5">
        <v>24.017236</v>
      </c>
      <c r="H5" t="s">
        <v>8</v>
      </c>
      <c r="I5" t="s">
        <v>3</v>
      </c>
      <c r="J5" t="s">
        <v>4</v>
      </c>
    </row>
    <row r="6" spans="1:10" x14ac:dyDescent="0.2">
      <c r="A6" t="s">
        <v>74</v>
      </c>
      <c r="B6" t="s">
        <v>71</v>
      </c>
      <c r="C6">
        <v>22354</v>
      </c>
      <c r="D6" t="s">
        <v>0</v>
      </c>
      <c r="E6">
        <v>37.666925999999997</v>
      </c>
      <c r="F6" t="s">
        <v>1</v>
      </c>
      <c r="G6">
        <v>11.423769</v>
      </c>
      <c r="H6" t="s">
        <v>9</v>
      </c>
      <c r="I6" t="s">
        <v>3</v>
      </c>
      <c r="J6" t="s">
        <v>4</v>
      </c>
    </row>
    <row r="7" spans="1:10" x14ac:dyDescent="0.2">
      <c r="A7" t="s">
        <v>74</v>
      </c>
      <c r="B7" t="s">
        <v>71</v>
      </c>
      <c r="C7">
        <v>137712</v>
      </c>
      <c r="D7" t="s">
        <v>0</v>
      </c>
      <c r="E7">
        <v>236.51123999999999</v>
      </c>
      <c r="F7" t="s">
        <v>1</v>
      </c>
      <c r="G7">
        <v>47.634135999999998</v>
      </c>
      <c r="H7" t="s">
        <v>10</v>
      </c>
      <c r="I7" t="s">
        <v>3</v>
      </c>
      <c r="J7" t="s">
        <v>4</v>
      </c>
    </row>
    <row r="8" spans="1:10" x14ac:dyDescent="0.2">
      <c r="A8" t="s">
        <v>74</v>
      </c>
      <c r="B8" t="s">
        <v>71</v>
      </c>
      <c r="C8">
        <v>51566</v>
      </c>
      <c r="D8" t="s">
        <v>0</v>
      </c>
      <c r="E8">
        <v>96.352556000000007</v>
      </c>
      <c r="F8" t="s">
        <v>1</v>
      </c>
      <c r="G8">
        <v>16.880572999999998</v>
      </c>
      <c r="H8" t="s">
        <v>11</v>
      </c>
      <c r="I8" t="s">
        <v>3</v>
      </c>
      <c r="J8" t="s">
        <v>4</v>
      </c>
    </row>
    <row r="9" spans="1:10" x14ac:dyDescent="0.2">
      <c r="A9" t="s">
        <v>74</v>
      </c>
      <c r="B9" t="s">
        <v>71</v>
      </c>
      <c r="C9">
        <v>33986</v>
      </c>
      <c r="D9" t="s">
        <v>0</v>
      </c>
      <c r="E9">
        <v>59.095731999999998</v>
      </c>
      <c r="F9" t="s">
        <v>1</v>
      </c>
      <c r="G9">
        <v>17.026648999999999</v>
      </c>
      <c r="H9" t="s">
        <v>12</v>
      </c>
      <c r="I9" t="s">
        <v>3</v>
      </c>
      <c r="J9" t="s">
        <v>4</v>
      </c>
    </row>
    <row r="10" spans="1:10" x14ac:dyDescent="0.2">
      <c r="A10" t="s">
        <v>74</v>
      </c>
      <c r="B10" t="s">
        <v>71</v>
      </c>
      <c r="C10">
        <v>79706</v>
      </c>
      <c r="D10" t="s">
        <v>0</v>
      </c>
      <c r="E10">
        <v>82.948222999999999</v>
      </c>
      <c r="F10" t="s">
        <v>1</v>
      </c>
      <c r="G10">
        <v>25.860105000000001</v>
      </c>
      <c r="H10" t="s">
        <v>13</v>
      </c>
      <c r="I10" t="s">
        <v>3</v>
      </c>
      <c r="J10" t="s">
        <v>4</v>
      </c>
    </row>
    <row r="11" spans="1:10" x14ac:dyDescent="0.2">
      <c r="A11" t="s">
        <v>74</v>
      </c>
      <c r="B11" t="s">
        <v>71</v>
      </c>
      <c r="C11">
        <v>2082</v>
      </c>
      <c r="D11" t="s">
        <v>0</v>
      </c>
      <c r="E11">
        <v>3.8638400000000002</v>
      </c>
      <c r="F11" t="s">
        <v>1</v>
      </c>
      <c r="G11">
        <v>2.7984149999999999</v>
      </c>
      <c r="H11" t="s">
        <v>14</v>
      </c>
      <c r="I11" t="s">
        <v>3</v>
      </c>
      <c r="J11" t="s">
        <v>4</v>
      </c>
    </row>
    <row r="12" spans="1:10" x14ac:dyDescent="0.2">
      <c r="A12" t="s">
        <v>74</v>
      </c>
      <c r="B12" t="s">
        <v>71</v>
      </c>
      <c r="C12">
        <v>37604</v>
      </c>
      <c r="D12" t="s">
        <v>0</v>
      </c>
      <c r="E12">
        <v>63.410843999999997</v>
      </c>
      <c r="F12" t="s">
        <v>1</v>
      </c>
      <c r="G12">
        <v>17.739832</v>
      </c>
      <c r="H12" t="s">
        <v>15</v>
      </c>
      <c r="I12" t="s">
        <v>3</v>
      </c>
      <c r="J12" t="s">
        <v>4</v>
      </c>
    </row>
    <row r="13" spans="1:10" x14ac:dyDescent="0.2">
      <c r="A13" t="s">
        <v>74</v>
      </c>
      <c r="B13" t="s">
        <v>71</v>
      </c>
      <c r="C13">
        <v>33529</v>
      </c>
      <c r="D13" t="s">
        <v>0</v>
      </c>
      <c r="E13">
        <v>60.312714999999997</v>
      </c>
      <c r="F13" t="s">
        <v>1</v>
      </c>
      <c r="G13">
        <v>17.225532000000001</v>
      </c>
      <c r="H13" t="s">
        <v>16</v>
      </c>
      <c r="I13" t="s">
        <v>3</v>
      </c>
      <c r="J13" t="s">
        <v>4</v>
      </c>
    </row>
    <row r="14" spans="1:10" x14ac:dyDescent="0.2">
      <c r="A14" t="s">
        <v>74</v>
      </c>
      <c r="B14" t="s">
        <v>71</v>
      </c>
      <c r="C14">
        <v>17829</v>
      </c>
      <c r="D14" t="s">
        <v>0</v>
      </c>
      <c r="E14">
        <v>37.022801999999999</v>
      </c>
      <c r="F14" t="s">
        <v>1</v>
      </c>
      <c r="G14">
        <v>11.577895</v>
      </c>
      <c r="H14" t="s">
        <v>17</v>
      </c>
      <c r="I14" t="s">
        <v>3</v>
      </c>
      <c r="J14" t="s">
        <v>4</v>
      </c>
    </row>
    <row r="15" spans="1:10" x14ac:dyDescent="0.2">
      <c r="A15" t="s">
        <v>74</v>
      </c>
      <c r="B15" t="s">
        <v>71</v>
      </c>
      <c r="C15">
        <v>35795</v>
      </c>
      <c r="D15" t="s">
        <v>0</v>
      </c>
      <c r="E15">
        <v>61.451886000000002</v>
      </c>
      <c r="F15" t="s">
        <v>1</v>
      </c>
      <c r="G15">
        <v>19.391857000000002</v>
      </c>
      <c r="H15" t="s">
        <v>18</v>
      </c>
      <c r="I15" t="s">
        <v>3</v>
      </c>
      <c r="J15" t="s">
        <v>4</v>
      </c>
    </row>
    <row r="16" spans="1:10" x14ac:dyDescent="0.2">
      <c r="A16" t="s">
        <v>74</v>
      </c>
      <c r="B16" t="s">
        <v>71</v>
      </c>
      <c r="C16">
        <v>63474</v>
      </c>
      <c r="D16" t="s">
        <v>0</v>
      </c>
      <c r="E16">
        <v>91.038375000000002</v>
      </c>
      <c r="F16" t="s">
        <v>1</v>
      </c>
      <c r="G16">
        <v>27.511604999999999</v>
      </c>
      <c r="H16" t="s">
        <v>19</v>
      </c>
      <c r="I16" t="s">
        <v>3</v>
      </c>
      <c r="J16" t="s">
        <v>4</v>
      </c>
    </row>
    <row r="17" spans="1:10" x14ac:dyDescent="0.2">
      <c r="A17" t="s">
        <v>74</v>
      </c>
      <c r="B17" t="s">
        <v>71</v>
      </c>
      <c r="C17">
        <v>97606</v>
      </c>
      <c r="D17" t="s">
        <v>0</v>
      </c>
      <c r="E17">
        <v>153.61255800000001</v>
      </c>
      <c r="F17" t="s">
        <v>1</v>
      </c>
      <c r="G17">
        <v>33.490163000000003</v>
      </c>
      <c r="H17" t="s">
        <v>20</v>
      </c>
      <c r="I17" t="s">
        <v>3</v>
      </c>
      <c r="J17" t="s">
        <v>4</v>
      </c>
    </row>
    <row r="18" spans="1:10" x14ac:dyDescent="0.2">
      <c r="A18" t="s">
        <v>74</v>
      </c>
      <c r="B18" t="s">
        <v>71</v>
      </c>
      <c r="C18">
        <v>27484</v>
      </c>
      <c r="D18" t="s">
        <v>0</v>
      </c>
      <c r="E18">
        <v>50.683259</v>
      </c>
      <c r="F18" t="s">
        <v>1</v>
      </c>
      <c r="G18">
        <v>13.412582</v>
      </c>
      <c r="H18" t="s">
        <v>21</v>
      </c>
      <c r="I18" t="s">
        <v>3</v>
      </c>
      <c r="J18" t="s">
        <v>4</v>
      </c>
    </row>
    <row r="19" spans="1:10" x14ac:dyDescent="0.2">
      <c r="A19" t="s">
        <v>74</v>
      </c>
      <c r="B19" t="s">
        <v>71</v>
      </c>
      <c r="C19">
        <v>48023</v>
      </c>
      <c r="D19" t="s">
        <v>0</v>
      </c>
      <c r="E19">
        <v>78.150959</v>
      </c>
      <c r="F19" t="s">
        <v>1</v>
      </c>
      <c r="G19">
        <v>24.090608</v>
      </c>
      <c r="H19" t="s">
        <v>22</v>
      </c>
      <c r="I19" t="s">
        <v>3</v>
      </c>
      <c r="J19" t="s">
        <v>4</v>
      </c>
    </row>
    <row r="20" spans="1:10" x14ac:dyDescent="0.2">
      <c r="A20" t="s">
        <v>74</v>
      </c>
      <c r="B20" t="s">
        <v>71</v>
      </c>
      <c r="C20">
        <v>39681</v>
      </c>
      <c r="D20" t="s">
        <v>0</v>
      </c>
      <c r="E20">
        <v>68.240630999999993</v>
      </c>
      <c r="F20" t="s">
        <v>1</v>
      </c>
      <c r="G20">
        <v>16.510498999999999</v>
      </c>
      <c r="H20" t="s">
        <v>23</v>
      </c>
      <c r="I20" t="s">
        <v>3</v>
      </c>
      <c r="J20" t="s">
        <v>4</v>
      </c>
    </row>
    <row r="21" spans="1:10" x14ac:dyDescent="0.2">
      <c r="A21" t="s">
        <v>74</v>
      </c>
      <c r="B21" t="s">
        <v>71</v>
      </c>
      <c r="C21">
        <v>20421</v>
      </c>
      <c r="D21" t="s">
        <v>0</v>
      </c>
      <c r="E21">
        <v>34.759124999999997</v>
      </c>
      <c r="F21" t="s">
        <v>1</v>
      </c>
      <c r="G21">
        <v>11.918483</v>
      </c>
      <c r="H21" t="s">
        <v>24</v>
      </c>
      <c r="I21" t="s">
        <v>3</v>
      </c>
      <c r="J21" t="s">
        <v>4</v>
      </c>
    </row>
    <row r="22" spans="1:10" x14ac:dyDescent="0.2">
      <c r="A22" t="s">
        <v>74</v>
      </c>
      <c r="B22" t="s">
        <v>71</v>
      </c>
      <c r="C22">
        <v>14799</v>
      </c>
      <c r="D22" t="s">
        <v>0</v>
      </c>
      <c r="E22">
        <v>26.296762000000001</v>
      </c>
      <c r="F22" t="s">
        <v>1</v>
      </c>
      <c r="G22">
        <v>8.3224129999999992</v>
      </c>
      <c r="H22" t="s">
        <v>25</v>
      </c>
      <c r="I22" t="s">
        <v>3</v>
      </c>
      <c r="J22" t="s">
        <v>4</v>
      </c>
    </row>
    <row r="23" spans="1:10" x14ac:dyDescent="0.2">
      <c r="A23" t="s">
        <v>74</v>
      </c>
      <c r="B23" t="s">
        <v>71</v>
      </c>
      <c r="C23">
        <v>20211</v>
      </c>
      <c r="D23" t="s">
        <v>0</v>
      </c>
      <c r="E23">
        <v>42.485022000000001</v>
      </c>
      <c r="F23" t="s">
        <v>1</v>
      </c>
      <c r="G23">
        <v>11.309825</v>
      </c>
      <c r="H23" t="s">
        <v>26</v>
      </c>
      <c r="I23" t="s">
        <v>3</v>
      </c>
      <c r="J23" t="s">
        <v>4</v>
      </c>
    </row>
    <row r="24" spans="1:10" x14ac:dyDescent="0.2">
      <c r="A24" t="s">
        <v>74</v>
      </c>
      <c r="B24" t="s">
        <v>71</v>
      </c>
      <c r="C24">
        <v>38029</v>
      </c>
      <c r="D24" t="s">
        <v>0</v>
      </c>
      <c r="E24">
        <v>55.174194999999997</v>
      </c>
      <c r="F24" t="s">
        <v>1</v>
      </c>
      <c r="G24">
        <v>16.812725</v>
      </c>
      <c r="H24" t="s">
        <v>27</v>
      </c>
      <c r="I24" t="s">
        <v>3</v>
      </c>
      <c r="J24" t="s">
        <v>4</v>
      </c>
    </row>
    <row r="25" spans="1:10" x14ac:dyDescent="0.2">
      <c r="A25" t="s">
        <v>74</v>
      </c>
      <c r="B25" t="s">
        <v>71</v>
      </c>
      <c r="C25">
        <v>124106</v>
      </c>
      <c r="D25" t="s">
        <v>0</v>
      </c>
      <c r="E25">
        <v>182.29206099999999</v>
      </c>
      <c r="F25" t="s">
        <v>1</v>
      </c>
      <c r="G25">
        <v>38.331589000000001</v>
      </c>
      <c r="H25" t="s">
        <v>28</v>
      </c>
      <c r="I25" t="s">
        <v>3</v>
      </c>
      <c r="J25" t="s">
        <v>4</v>
      </c>
    </row>
    <row r="26" spans="1:10" x14ac:dyDescent="0.2">
      <c r="A26" t="s">
        <v>74</v>
      </c>
      <c r="B26" t="s">
        <v>71</v>
      </c>
      <c r="C26">
        <v>31277</v>
      </c>
      <c r="D26" t="s">
        <v>0</v>
      </c>
      <c r="E26">
        <v>39.356889000000002</v>
      </c>
      <c r="F26" t="s">
        <v>1</v>
      </c>
      <c r="G26">
        <v>13.710877999999999</v>
      </c>
      <c r="H26" t="s">
        <v>29</v>
      </c>
      <c r="I26" t="s">
        <v>3</v>
      </c>
      <c r="J26" t="s">
        <v>4</v>
      </c>
    </row>
    <row r="27" spans="1:10" x14ac:dyDescent="0.2">
      <c r="A27" t="s">
        <v>74</v>
      </c>
      <c r="B27" t="s">
        <v>71</v>
      </c>
      <c r="C27">
        <v>34950</v>
      </c>
      <c r="D27" t="s">
        <v>0</v>
      </c>
      <c r="E27">
        <v>49.196948999999996</v>
      </c>
      <c r="F27" t="s">
        <v>1</v>
      </c>
      <c r="G27">
        <v>13.995241</v>
      </c>
      <c r="H27" t="s">
        <v>30</v>
      </c>
      <c r="I27" t="s">
        <v>3</v>
      </c>
      <c r="J27" t="s">
        <v>4</v>
      </c>
    </row>
    <row r="28" spans="1:10" x14ac:dyDescent="0.2">
      <c r="A28" t="s">
        <v>74</v>
      </c>
      <c r="B28" t="s">
        <v>71</v>
      </c>
      <c r="C28">
        <v>14254</v>
      </c>
      <c r="D28" t="s">
        <v>0</v>
      </c>
      <c r="E28">
        <v>25.999585</v>
      </c>
      <c r="F28" t="s">
        <v>1</v>
      </c>
      <c r="G28">
        <v>7.0331830000000002</v>
      </c>
      <c r="H28" t="s">
        <v>31</v>
      </c>
      <c r="I28" t="s">
        <v>3</v>
      </c>
      <c r="J28" t="s">
        <v>4</v>
      </c>
    </row>
    <row r="29" spans="1:10" x14ac:dyDescent="0.2">
      <c r="A29" t="s">
        <v>74</v>
      </c>
      <c r="B29" t="s">
        <v>71</v>
      </c>
      <c r="C29">
        <v>30242</v>
      </c>
      <c r="D29" t="s">
        <v>0</v>
      </c>
      <c r="E29">
        <v>55.658219000000003</v>
      </c>
      <c r="F29" t="s">
        <v>1</v>
      </c>
      <c r="G29">
        <v>11.904679</v>
      </c>
      <c r="H29" t="s">
        <v>32</v>
      </c>
      <c r="I29" t="s">
        <v>3</v>
      </c>
      <c r="J29" t="s">
        <v>4</v>
      </c>
    </row>
    <row r="30" spans="1:10" x14ac:dyDescent="0.2">
      <c r="A30" t="s">
        <v>74</v>
      </c>
      <c r="B30" t="s">
        <v>71</v>
      </c>
      <c r="C30">
        <v>10794</v>
      </c>
      <c r="D30" t="s">
        <v>0</v>
      </c>
      <c r="E30">
        <v>23.127289000000001</v>
      </c>
      <c r="F30" t="s">
        <v>1</v>
      </c>
      <c r="G30">
        <v>7.2395810000000003</v>
      </c>
      <c r="H30" t="s">
        <v>33</v>
      </c>
      <c r="I30" t="s">
        <v>3</v>
      </c>
      <c r="J30" t="s">
        <v>4</v>
      </c>
    </row>
    <row r="31" spans="1:10" x14ac:dyDescent="0.2">
      <c r="A31" t="s">
        <v>74</v>
      </c>
      <c r="B31" t="s">
        <v>71</v>
      </c>
      <c r="C31">
        <v>7703</v>
      </c>
      <c r="D31" t="s">
        <v>0</v>
      </c>
      <c r="E31">
        <v>19.497149</v>
      </c>
      <c r="F31" t="s">
        <v>1</v>
      </c>
      <c r="G31">
        <v>5.9954869999999998</v>
      </c>
      <c r="H31" t="s">
        <v>34</v>
      </c>
      <c r="I31" t="s">
        <v>3</v>
      </c>
      <c r="J31" t="s">
        <v>4</v>
      </c>
    </row>
    <row r="32" spans="1:10" x14ac:dyDescent="0.2">
      <c r="A32" t="s">
        <v>74</v>
      </c>
      <c r="B32" t="s">
        <v>71</v>
      </c>
      <c r="C32">
        <v>12237</v>
      </c>
      <c r="D32" t="s">
        <v>0</v>
      </c>
      <c r="E32">
        <v>23.043355999999999</v>
      </c>
      <c r="F32" t="s">
        <v>1</v>
      </c>
      <c r="G32">
        <v>7.7125409999999999</v>
      </c>
      <c r="H32" t="s">
        <v>35</v>
      </c>
      <c r="I32" t="s">
        <v>3</v>
      </c>
      <c r="J32" t="s">
        <v>4</v>
      </c>
    </row>
    <row r="33" spans="1:10" x14ac:dyDescent="0.2">
      <c r="A33" t="s">
        <v>74</v>
      </c>
      <c r="B33" t="s">
        <v>71</v>
      </c>
      <c r="C33">
        <v>23498</v>
      </c>
      <c r="D33" t="s">
        <v>0</v>
      </c>
      <c r="E33">
        <v>33.827212000000003</v>
      </c>
      <c r="F33" t="s">
        <v>1</v>
      </c>
      <c r="G33">
        <v>8.9618479999999998</v>
      </c>
      <c r="H33" t="s">
        <v>36</v>
      </c>
      <c r="I33" t="s">
        <v>3</v>
      </c>
      <c r="J33" t="s">
        <v>4</v>
      </c>
    </row>
    <row r="34" spans="1:10" x14ac:dyDescent="0.2">
      <c r="A34" t="s">
        <v>74</v>
      </c>
      <c r="B34" t="s">
        <v>71</v>
      </c>
      <c r="C34">
        <v>18384</v>
      </c>
      <c r="D34" t="s">
        <v>0</v>
      </c>
      <c r="E34">
        <v>36.816989999999997</v>
      </c>
      <c r="F34" t="s">
        <v>1</v>
      </c>
      <c r="G34">
        <v>9.3055599999999998</v>
      </c>
      <c r="H34" t="s">
        <v>37</v>
      </c>
      <c r="I34" t="s">
        <v>3</v>
      </c>
      <c r="J34" t="s">
        <v>4</v>
      </c>
    </row>
    <row r="35" spans="1:10" x14ac:dyDescent="0.2">
      <c r="A35" t="s">
        <v>74</v>
      </c>
      <c r="B35" t="s">
        <v>71</v>
      </c>
      <c r="C35">
        <v>38642</v>
      </c>
      <c r="D35" t="s">
        <v>0</v>
      </c>
      <c r="E35">
        <v>60.525717999999998</v>
      </c>
      <c r="F35" t="s">
        <v>1</v>
      </c>
      <c r="G35">
        <v>16.917570999999999</v>
      </c>
      <c r="H35" t="s">
        <v>38</v>
      </c>
      <c r="I35" t="s">
        <v>3</v>
      </c>
      <c r="J35" t="s">
        <v>4</v>
      </c>
    </row>
    <row r="36" spans="1:10" x14ac:dyDescent="0.2">
      <c r="A36" t="s">
        <v>74</v>
      </c>
      <c r="B36" t="s">
        <v>71</v>
      </c>
      <c r="C36">
        <v>33562</v>
      </c>
      <c r="D36" t="s">
        <v>0</v>
      </c>
      <c r="E36">
        <v>52.552218000000003</v>
      </c>
      <c r="F36" t="s">
        <v>1</v>
      </c>
      <c r="G36">
        <v>13.849885</v>
      </c>
      <c r="H36" t="s">
        <v>39</v>
      </c>
      <c r="I36" t="s">
        <v>3</v>
      </c>
      <c r="J36" t="s">
        <v>4</v>
      </c>
    </row>
    <row r="37" spans="1:10" x14ac:dyDescent="0.2">
      <c r="A37" t="s">
        <v>74</v>
      </c>
      <c r="B37" t="s">
        <v>71</v>
      </c>
      <c r="C37">
        <v>9092</v>
      </c>
      <c r="D37" t="s">
        <v>0</v>
      </c>
      <c r="E37">
        <v>24.503855999999999</v>
      </c>
      <c r="F37" t="s">
        <v>1</v>
      </c>
      <c r="G37">
        <v>7.3644309999999997</v>
      </c>
      <c r="H37" t="s">
        <v>40</v>
      </c>
      <c r="I37" t="s">
        <v>3</v>
      </c>
      <c r="J37" t="s">
        <v>4</v>
      </c>
    </row>
    <row r="38" spans="1:10" x14ac:dyDescent="0.2">
      <c r="A38" t="s">
        <v>74</v>
      </c>
      <c r="B38" t="s">
        <v>71</v>
      </c>
      <c r="C38">
        <v>34351</v>
      </c>
      <c r="D38" t="s">
        <v>0</v>
      </c>
      <c r="E38">
        <v>50.342976</v>
      </c>
      <c r="F38" t="s">
        <v>1</v>
      </c>
      <c r="G38">
        <v>15.431986999999999</v>
      </c>
      <c r="H38" t="s">
        <v>41</v>
      </c>
      <c r="I38" t="s">
        <v>3</v>
      </c>
      <c r="J38" t="s">
        <v>4</v>
      </c>
    </row>
    <row r="39" spans="1:10" x14ac:dyDescent="0.2">
      <c r="A39" t="s">
        <v>74</v>
      </c>
      <c r="B39" t="s">
        <v>71</v>
      </c>
      <c r="C39">
        <v>76513</v>
      </c>
      <c r="D39" t="s">
        <v>0</v>
      </c>
      <c r="E39">
        <v>91.526188000000005</v>
      </c>
      <c r="F39" t="s">
        <v>1</v>
      </c>
      <c r="G39">
        <v>24.159614000000001</v>
      </c>
      <c r="H39" t="s">
        <v>42</v>
      </c>
      <c r="I39" t="s">
        <v>3</v>
      </c>
      <c r="J39" t="s">
        <v>4</v>
      </c>
    </row>
    <row r="40" spans="1:10" x14ac:dyDescent="0.2">
      <c r="A40" t="s">
        <v>74</v>
      </c>
      <c r="B40" t="s">
        <v>71</v>
      </c>
      <c r="C40">
        <v>107890</v>
      </c>
      <c r="D40" t="s">
        <v>0</v>
      </c>
      <c r="E40">
        <v>147.40903</v>
      </c>
      <c r="F40" t="s">
        <v>1</v>
      </c>
      <c r="G40">
        <v>32.554119</v>
      </c>
      <c r="H40" t="s">
        <v>43</v>
      </c>
      <c r="I40" t="s">
        <v>3</v>
      </c>
      <c r="J40" t="s">
        <v>4</v>
      </c>
    </row>
    <row r="41" spans="1:10" x14ac:dyDescent="0.2">
      <c r="A41" t="s">
        <v>74</v>
      </c>
      <c r="B41" t="s">
        <v>71</v>
      </c>
      <c r="C41">
        <v>25498</v>
      </c>
      <c r="D41" t="s">
        <v>0</v>
      </c>
      <c r="E41">
        <v>36.726332999999997</v>
      </c>
      <c r="F41" t="s">
        <v>1</v>
      </c>
      <c r="G41">
        <v>12.792939000000001</v>
      </c>
      <c r="H41" t="s">
        <v>44</v>
      </c>
      <c r="I41" t="s">
        <v>3</v>
      </c>
      <c r="J41" t="s">
        <v>4</v>
      </c>
    </row>
    <row r="42" spans="1:10" x14ac:dyDescent="0.2">
      <c r="A42" t="s">
        <v>74</v>
      </c>
      <c r="B42" t="s">
        <v>71</v>
      </c>
      <c r="C42">
        <v>35604</v>
      </c>
      <c r="D42" t="s">
        <v>0</v>
      </c>
      <c r="E42">
        <v>76.081793000000005</v>
      </c>
      <c r="F42" t="s">
        <v>1</v>
      </c>
      <c r="G42">
        <v>13.321265</v>
      </c>
      <c r="H42" t="s">
        <v>45</v>
      </c>
      <c r="I42" t="s">
        <v>3</v>
      </c>
      <c r="J42" t="s">
        <v>4</v>
      </c>
    </row>
    <row r="43" spans="1:10" x14ac:dyDescent="0.2">
      <c r="A43" t="s">
        <v>74</v>
      </c>
      <c r="B43" t="s">
        <v>71</v>
      </c>
      <c r="C43">
        <v>15987</v>
      </c>
      <c r="D43" t="s">
        <v>0</v>
      </c>
      <c r="E43">
        <v>37.897120000000001</v>
      </c>
      <c r="F43" t="s">
        <v>1</v>
      </c>
      <c r="G43">
        <v>8.0491969999999995</v>
      </c>
      <c r="H43" t="s">
        <v>46</v>
      </c>
      <c r="I43" t="s">
        <v>3</v>
      </c>
      <c r="J43" t="s">
        <v>4</v>
      </c>
    </row>
    <row r="44" spans="1:10" x14ac:dyDescent="0.2">
      <c r="A44" t="s">
        <v>74</v>
      </c>
      <c r="B44" t="s">
        <v>71</v>
      </c>
      <c r="C44">
        <v>17704</v>
      </c>
      <c r="D44" t="s">
        <v>0</v>
      </c>
      <c r="E44">
        <v>40.428379999999997</v>
      </c>
      <c r="F44" t="s">
        <v>1</v>
      </c>
      <c r="G44">
        <v>8.348789</v>
      </c>
      <c r="H44" t="s">
        <v>47</v>
      </c>
      <c r="I44" t="s">
        <v>3</v>
      </c>
      <c r="J44" t="s">
        <v>4</v>
      </c>
    </row>
    <row r="45" spans="1:10" x14ac:dyDescent="0.2">
      <c r="A45" t="s">
        <v>74</v>
      </c>
      <c r="B45" t="s">
        <v>71</v>
      </c>
      <c r="C45">
        <v>17590</v>
      </c>
      <c r="D45" t="s">
        <v>0</v>
      </c>
      <c r="E45">
        <v>39.909269000000002</v>
      </c>
      <c r="F45" t="s">
        <v>1</v>
      </c>
      <c r="G45">
        <v>8.0197669999999999</v>
      </c>
      <c r="H45" t="s">
        <v>48</v>
      </c>
      <c r="I45" t="s">
        <v>3</v>
      </c>
      <c r="J45" t="s">
        <v>4</v>
      </c>
    </row>
    <row r="46" spans="1:10" x14ac:dyDescent="0.2">
      <c r="A46" t="s">
        <v>74</v>
      </c>
      <c r="B46" t="s">
        <v>71</v>
      </c>
      <c r="C46">
        <v>29173</v>
      </c>
      <c r="D46" t="s">
        <v>0</v>
      </c>
      <c r="E46">
        <v>48.590890000000002</v>
      </c>
      <c r="F46" t="s">
        <v>1</v>
      </c>
      <c r="G46">
        <v>10.88269</v>
      </c>
      <c r="H46" t="s">
        <v>49</v>
      </c>
      <c r="I46" t="s">
        <v>3</v>
      </c>
      <c r="J46" t="s">
        <v>4</v>
      </c>
    </row>
    <row r="47" spans="1:10" x14ac:dyDescent="0.2">
      <c r="A47" t="s">
        <v>74</v>
      </c>
      <c r="B47" t="s">
        <v>71</v>
      </c>
      <c r="C47">
        <v>36406</v>
      </c>
      <c r="D47" t="s">
        <v>0</v>
      </c>
      <c r="E47">
        <v>75.372011000000001</v>
      </c>
      <c r="F47" t="s">
        <v>1</v>
      </c>
      <c r="G47">
        <v>14.317804000000001</v>
      </c>
      <c r="H47" t="s">
        <v>50</v>
      </c>
      <c r="I47" t="s">
        <v>3</v>
      </c>
      <c r="J47" t="s">
        <v>4</v>
      </c>
    </row>
    <row r="48" spans="1:10" x14ac:dyDescent="0.2">
      <c r="A48" t="s">
        <v>74</v>
      </c>
      <c r="B48" t="s">
        <v>71</v>
      </c>
      <c r="C48">
        <v>47927</v>
      </c>
      <c r="D48" t="s">
        <v>0</v>
      </c>
      <c r="E48">
        <v>49.653176999999999</v>
      </c>
      <c r="F48" t="s">
        <v>1</v>
      </c>
      <c r="G48">
        <v>17.325803000000001</v>
      </c>
      <c r="H48" t="s">
        <v>51</v>
      </c>
      <c r="I48" t="s">
        <v>3</v>
      </c>
      <c r="J48" t="s">
        <v>4</v>
      </c>
    </row>
    <row r="49" spans="1:10" x14ac:dyDescent="0.2">
      <c r="A49" t="s">
        <v>74</v>
      </c>
      <c r="B49" t="s">
        <v>71</v>
      </c>
      <c r="C49">
        <v>15948</v>
      </c>
      <c r="D49" t="s">
        <v>0</v>
      </c>
      <c r="E49">
        <v>25.223635000000002</v>
      </c>
      <c r="F49" t="s">
        <v>1</v>
      </c>
      <c r="G49">
        <v>8.6466100000000008</v>
      </c>
      <c r="H49" t="s">
        <v>52</v>
      </c>
      <c r="I49" t="s">
        <v>3</v>
      </c>
      <c r="J49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2022-12-06T17:34:08Z</dcterms:modified>
</cp:coreProperties>
</file>