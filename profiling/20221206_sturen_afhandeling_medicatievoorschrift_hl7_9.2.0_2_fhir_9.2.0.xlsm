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8_{E9E7CC7F-B8BF-AD46-A142-7F92BF7B2A1A}" xr6:coauthVersionLast="47" xr6:coauthVersionMax="47" xr10:uidLastSave="{00000000-0000-0000-0000-000000000000}"/>
  <bookViews>
    <workbookView xWindow="34720" yWindow="1028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2" i="5" l="1"/>
  <c r="B52" i="5"/>
  <c r="C52" i="5"/>
  <c r="E52" i="5" s="1"/>
  <c r="D52" i="5"/>
  <c r="G52" i="5"/>
  <c r="I52" i="5" s="1"/>
  <c r="H52" i="5"/>
  <c r="K52" i="5"/>
  <c r="L52" i="5"/>
  <c r="M52" i="5"/>
  <c r="O52" i="5"/>
  <c r="Q52" i="5" s="1"/>
  <c r="P52" i="5"/>
  <c r="A22" i="5"/>
  <c r="B22" i="5"/>
  <c r="C22" i="5"/>
  <c r="D22" i="5"/>
  <c r="G22" i="5"/>
  <c r="H22" i="5"/>
  <c r="I22" i="5" s="1"/>
  <c r="K22" i="5"/>
  <c r="L22" i="5"/>
  <c r="M22" i="5"/>
  <c r="O22" i="5"/>
  <c r="P22" i="5"/>
  <c r="A23" i="5"/>
  <c r="B23" i="5"/>
  <c r="C23" i="5"/>
  <c r="D23" i="5"/>
  <c r="G23" i="5"/>
  <c r="H23" i="5"/>
  <c r="I23" i="5" s="1"/>
  <c r="K23" i="5"/>
  <c r="L23" i="5"/>
  <c r="O23" i="5"/>
  <c r="P23" i="5"/>
  <c r="A24" i="5"/>
  <c r="B24" i="5"/>
  <c r="C24" i="5"/>
  <c r="D24" i="5"/>
  <c r="G24" i="5"/>
  <c r="H24" i="5"/>
  <c r="I24" i="5"/>
  <c r="K24" i="5"/>
  <c r="L24" i="5"/>
  <c r="O24" i="5"/>
  <c r="P24" i="5"/>
  <c r="A25" i="5"/>
  <c r="B25" i="5"/>
  <c r="C25" i="5"/>
  <c r="D25" i="5"/>
  <c r="G25" i="5"/>
  <c r="H25" i="5"/>
  <c r="I25" i="5"/>
  <c r="K25" i="5"/>
  <c r="L25" i="5"/>
  <c r="M25" i="5" s="1"/>
  <c r="O25" i="5"/>
  <c r="Q25" i="5" s="1"/>
  <c r="P25" i="5"/>
  <c r="A26" i="5"/>
  <c r="B26" i="5"/>
  <c r="C26" i="5"/>
  <c r="D26" i="5"/>
  <c r="E26" i="5" s="1"/>
  <c r="G26" i="5"/>
  <c r="H26" i="5"/>
  <c r="K26" i="5"/>
  <c r="L26" i="5"/>
  <c r="O26" i="5"/>
  <c r="P26" i="5"/>
  <c r="A27" i="5"/>
  <c r="B27" i="5"/>
  <c r="C27" i="5"/>
  <c r="D27" i="5"/>
  <c r="G27" i="5"/>
  <c r="H27" i="5"/>
  <c r="K27" i="5"/>
  <c r="L27" i="5"/>
  <c r="O27" i="5"/>
  <c r="P27" i="5"/>
  <c r="A28" i="5"/>
  <c r="B28" i="5"/>
  <c r="C28" i="5"/>
  <c r="E28" i="5" s="1"/>
  <c r="D28" i="5"/>
  <c r="G28" i="5"/>
  <c r="H28" i="5"/>
  <c r="K28" i="5"/>
  <c r="L28" i="5"/>
  <c r="M28" i="5"/>
  <c r="O28" i="5"/>
  <c r="P28" i="5"/>
  <c r="A29" i="5"/>
  <c r="B29" i="5"/>
  <c r="C29" i="5"/>
  <c r="D29" i="5"/>
  <c r="E29" i="5" s="1"/>
  <c r="G29" i="5"/>
  <c r="H29" i="5"/>
  <c r="K29" i="5"/>
  <c r="L29" i="5"/>
  <c r="O29" i="5"/>
  <c r="P29" i="5"/>
  <c r="Q29" i="5" s="1"/>
  <c r="A30" i="5"/>
  <c r="B30" i="5"/>
  <c r="C30" i="5"/>
  <c r="D30" i="5"/>
  <c r="E30" i="5"/>
  <c r="G30" i="5"/>
  <c r="H30" i="5"/>
  <c r="K30" i="5"/>
  <c r="L30" i="5"/>
  <c r="O30" i="5"/>
  <c r="P30" i="5"/>
  <c r="A31" i="5"/>
  <c r="B31" i="5"/>
  <c r="C31" i="5"/>
  <c r="D31" i="5"/>
  <c r="G31" i="5"/>
  <c r="H31" i="5"/>
  <c r="I31" i="5"/>
  <c r="K31" i="5"/>
  <c r="L31" i="5"/>
  <c r="O31" i="5"/>
  <c r="P31" i="5"/>
  <c r="Q31" i="5" s="1"/>
  <c r="A32" i="5"/>
  <c r="B32" i="5"/>
  <c r="C32" i="5"/>
  <c r="D32" i="5"/>
  <c r="G32" i="5"/>
  <c r="H32" i="5"/>
  <c r="K32" i="5"/>
  <c r="L32" i="5"/>
  <c r="O32" i="5"/>
  <c r="P32" i="5"/>
  <c r="A33" i="5"/>
  <c r="B33" i="5"/>
  <c r="C33" i="5"/>
  <c r="D33" i="5"/>
  <c r="E33" i="5" s="1"/>
  <c r="G33" i="5"/>
  <c r="H33" i="5"/>
  <c r="I33" i="5" s="1"/>
  <c r="K33" i="5"/>
  <c r="L33" i="5"/>
  <c r="M33" i="5" s="1"/>
  <c r="O33" i="5"/>
  <c r="P33" i="5"/>
  <c r="Q33" i="5" s="1"/>
  <c r="A34" i="5"/>
  <c r="B34" i="5"/>
  <c r="C34" i="5"/>
  <c r="D34" i="5"/>
  <c r="G34" i="5"/>
  <c r="H34" i="5"/>
  <c r="K34" i="5"/>
  <c r="L34" i="5"/>
  <c r="M34" i="5" s="1"/>
  <c r="O34" i="5"/>
  <c r="P34" i="5"/>
  <c r="Q34" i="5"/>
  <c r="A35" i="5"/>
  <c r="B35" i="5"/>
  <c r="C35" i="5"/>
  <c r="D35" i="5"/>
  <c r="G35" i="5"/>
  <c r="H35" i="5"/>
  <c r="K35" i="5"/>
  <c r="L35" i="5"/>
  <c r="O35" i="5"/>
  <c r="P35" i="5"/>
  <c r="A36" i="5"/>
  <c r="B36" i="5"/>
  <c r="C36" i="5"/>
  <c r="D36" i="5"/>
  <c r="E36" i="5" s="1"/>
  <c r="G36" i="5"/>
  <c r="H36" i="5"/>
  <c r="K36" i="5"/>
  <c r="L36" i="5"/>
  <c r="O36" i="5"/>
  <c r="Q36" i="5" s="1"/>
  <c r="P36" i="5"/>
  <c r="A37" i="5"/>
  <c r="B37" i="5"/>
  <c r="C37" i="5"/>
  <c r="D37" i="5"/>
  <c r="E37" i="5" s="1"/>
  <c r="G37" i="5"/>
  <c r="H37" i="5"/>
  <c r="I37" i="5" s="1"/>
  <c r="K37" i="5"/>
  <c r="L37" i="5"/>
  <c r="M37" i="5" s="1"/>
  <c r="O37" i="5"/>
  <c r="P37" i="5"/>
  <c r="A38" i="5"/>
  <c r="B38" i="5"/>
  <c r="C38" i="5"/>
  <c r="D38" i="5"/>
  <c r="G38" i="5"/>
  <c r="H38" i="5"/>
  <c r="K38" i="5"/>
  <c r="L38" i="5"/>
  <c r="M38" i="5"/>
  <c r="O38" i="5"/>
  <c r="P38" i="5"/>
  <c r="A39" i="5"/>
  <c r="B39" i="5"/>
  <c r="C39" i="5"/>
  <c r="D39" i="5"/>
  <c r="G39" i="5"/>
  <c r="H39" i="5"/>
  <c r="I39" i="5" s="1"/>
  <c r="K39" i="5"/>
  <c r="L39" i="5"/>
  <c r="O39" i="5"/>
  <c r="P39" i="5"/>
  <c r="A40" i="5"/>
  <c r="B40" i="5"/>
  <c r="C40" i="5"/>
  <c r="D40" i="5"/>
  <c r="G40" i="5"/>
  <c r="H40" i="5"/>
  <c r="I40" i="5"/>
  <c r="K40" i="5"/>
  <c r="L40" i="5"/>
  <c r="O40" i="5"/>
  <c r="P40" i="5"/>
  <c r="Q40" i="5" s="1"/>
  <c r="A41" i="5"/>
  <c r="B41" i="5"/>
  <c r="C41" i="5"/>
  <c r="D41" i="5"/>
  <c r="G41" i="5"/>
  <c r="H41" i="5"/>
  <c r="K41" i="5"/>
  <c r="L41" i="5"/>
  <c r="M41" i="5" s="1"/>
  <c r="O41" i="5"/>
  <c r="P41" i="5"/>
  <c r="Q41" i="5" s="1"/>
  <c r="A42" i="5"/>
  <c r="B42" i="5"/>
  <c r="C42" i="5"/>
  <c r="D42" i="5"/>
  <c r="G42" i="5"/>
  <c r="H42" i="5"/>
  <c r="I42" i="5"/>
  <c r="K42" i="5"/>
  <c r="L42" i="5"/>
  <c r="O42" i="5"/>
  <c r="P42" i="5"/>
  <c r="A43" i="5"/>
  <c r="B43" i="5"/>
  <c r="C43" i="5"/>
  <c r="D43" i="5"/>
  <c r="G43" i="5"/>
  <c r="H43" i="5"/>
  <c r="K43" i="5"/>
  <c r="L43" i="5"/>
  <c r="M43" i="5" s="1"/>
  <c r="O43" i="5"/>
  <c r="P43" i="5"/>
  <c r="A44" i="5"/>
  <c r="B44" i="5"/>
  <c r="C44" i="5"/>
  <c r="E44" i="5" s="1"/>
  <c r="D44" i="5"/>
  <c r="G44" i="5"/>
  <c r="H44" i="5"/>
  <c r="K44" i="5"/>
  <c r="L44" i="5"/>
  <c r="M44" i="5" s="1"/>
  <c r="O44" i="5"/>
  <c r="P44" i="5"/>
  <c r="A45" i="5"/>
  <c r="B45" i="5"/>
  <c r="C45" i="5"/>
  <c r="E45" i="5" s="1"/>
  <c r="D45" i="5"/>
  <c r="G45" i="5"/>
  <c r="H45" i="5"/>
  <c r="K45" i="5"/>
  <c r="L45" i="5"/>
  <c r="M45" i="5"/>
  <c r="O45" i="5"/>
  <c r="P45" i="5"/>
  <c r="A46" i="5"/>
  <c r="B46" i="5"/>
  <c r="C46" i="5"/>
  <c r="E46" i="5" s="1"/>
  <c r="D46" i="5"/>
  <c r="G46" i="5"/>
  <c r="H46" i="5"/>
  <c r="K46" i="5"/>
  <c r="L46" i="5"/>
  <c r="O46" i="5"/>
  <c r="P46" i="5"/>
  <c r="A47" i="5"/>
  <c r="B47" i="5"/>
  <c r="C47" i="5"/>
  <c r="D47" i="5"/>
  <c r="G47" i="5"/>
  <c r="H47" i="5"/>
  <c r="I47" i="5" s="1"/>
  <c r="K47" i="5"/>
  <c r="M47" i="5" s="1"/>
  <c r="L47" i="5"/>
  <c r="O47" i="5"/>
  <c r="P47" i="5"/>
  <c r="A48" i="5"/>
  <c r="B48" i="5"/>
  <c r="C48" i="5"/>
  <c r="D48" i="5"/>
  <c r="G48" i="5"/>
  <c r="I48" i="5" s="1"/>
  <c r="H48" i="5"/>
  <c r="K48" i="5"/>
  <c r="M48" i="5" s="1"/>
  <c r="L48" i="5"/>
  <c r="O48" i="5"/>
  <c r="P48" i="5"/>
  <c r="Q48" i="5"/>
  <c r="A49" i="5"/>
  <c r="B49" i="5"/>
  <c r="C49" i="5"/>
  <c r="D49" i="5"/>
  <c r="G49" i="5"/>
  <c r="H49" i="5"/>
  <c r="K49" i="5"/>
  <c r="L49" i="5"/>
  <c r="M49" i="5" s="1"/>
  <c r="O49" i="5"/>
  <c r="Q49" i="5" s="1"/>
  <c r="P49" i="5"/>
  <c r="A50" i="5"/>
  <c r="B50" i="5"/>
  <c r="C50" i="5"/>
  <c r="D50" i="5"/>
  <c r="G50" i="5"/>
  <c r="H50" i="5"/>
  <c r="K50" i="5"/>
  <c r="L50" i="5"/>
  <c r="O50" i="5"/>
  <c r="P50" i="5"/>
  <c r="A51" i="5"/>
  <c r="B51" i="5"/>
  <c r="C51" i="5"/>
  <c r="D51" i="5"/>
  <c r="E51" i="5"/>
  <c r="G51" i="5"/>
  <c r="H51" i="5"/>
  <c r="K51" i="5"/>
  <c r="L51" i="5"/>
  <c r="M51" i="5" s="1"/>
  <c r="O51" i="5"/>
  <c r="P51" i="5"/>
  <c r="Q24" i="5" l="1"/>
  <c r="Q50" i="5"/>
  <c r="Q23" i="5"/>
  <c r="Q46" i="5"/>
  <c r="Q44" i="5"/>
  <c r="Q39" i="5"/>
  <c r="Q28" i="5"/>
  <c r="Q32" i="5"/>
  <c r="M32" i="5"/>
  <c r="M29" i="5"/>
  <c r="M27" i="5"/>
  <c r="M50" i="5"/>
  <c r="M23" i="5"/>
  <c r="M36" i="5"/>
  <c r="M30" i="5"/>
  <c r="I26" i="5"/>
  <c r="I41" i="5"/>
  <c r="I45" i="5"/>
  <c r="I49" i="5"/>
  <c r="T49" i="5" s="1"/>
  <c r="I32" i="5"/>
  <c r="E22" i="5"/>
  <c r="E43" i="5"/>
  <c r="E34" i="5"/>
  <c r="E24" i="5"/>
  <c r="E35" i="5"/>
  <c r="E27" i="5"/>
  <c r="E49" i="5"/>
  <c r="V49" i="5" s="1"/>
  <c r="E48" i="5"/>
  <c r="E31" i="5"/>
  <c r="E38" i="5"/>
  <c r="V52" i="5"/>
  <c r="T52" i="5"/>
  <c r="U52" i="5"/>
  <c r="M46" i="5"/>
  <c r="I27" i="5"/>
  <c r="M24" i="5"/>
  <c r="U24" i="5" s="1"/>
  <c r="E23" i="5"/>
  <c r="T23" i="5" s="1"/>
  <c r="I35" i="5"/>
  <c r="Q47" i="5"/>
  <c r="I46" i="5"/>
  <c r="T46" i="5" s="1"/>
  <c r="E42" i="5"/>
  <c r="M39" i="5"/>
  <c r="Q51" i="5"/>
  <c r="V51" i="5" s="1"/>
  <c r="I50" i="5"/>
  <c r="Q37" i="5"/>
  <c r="T37" i="5" s="1"/>
  <c r="I28" i="5"/>
  <c r="U28" i="5" s="1"/>
  <c r="Q22" i="5"/>
  <c r="V22" i="5" s="1"/>
  <c r="E50" i="5"/>
  <c r="I43" i="5"/>
  <c r="M40" i="5"/>
  <c r="E39" i="5"/>
  <c r="I36" i="5"/>
  <c r="Q30" i="5"/>
  <c r="I29" i="5"/>
  <c r="Q26" i="5"/>
  <c r="I51" i="5"/>
  <c r="Q45" i="5"/>
  <c r="U45" i="5" s="1"/>
  <c r="E32" i="5"/>
  <c r="T32" i="5" s="1"/>
  <c r="M26" i="5"/>
  <c r="U26" i="5" s="1"/>
  <c r="E25" i="5"/>
  <c r="U25" i="5" s="1"/>
  <c r="E47" i="5"/>
  <c r="U47" i="5" s="1"/>
  <c r="Q38" i="5"/>
  <c r="T38" i="5" s="1"/>
  <c r="I30" i="5"/>
  <c r="V30" i="5" s="1"/>
  <c r="Q27" i="5"/>
  <c r="Q43" i="5"/>
  <c r="I44" i="5"/>
  <c r="E40" i="5"/>
  <c r="T40" i="5" s="1"/>
  <c r="Q42" i="5"/>
  <c r="Q35" i="5"/>
  <c r="I34" i="5"/>
  <c r="V34" i="5" s="1"/>
  <c r="M42" i="5"/>
  <c r="E41" i="5"/>
  <c r="U41" i="5" s="1"/>
  <c r="I38" i="5"/>
  <c r="M35" i="5"/>
  <c r="U35" i="5" s="1"/>
  <c r="M31" i="5"/>
  <c r="T48" i="5"/>
  <c r="U48" i="5"/>
  <c r="V48" i="5"/>
  <c r="U49" i="5"/>
  <c r="V24" i="5"/>
  <c r="V36" i="5"/>
  <c r="V29" i="5"/>
  <c r="T36" i="5"/>
  <c r="T29" i="5"/>
  <c r="T25" i="5"/>
  <c r="T33" i="5"/>
  <c r="U33" i="5"/>
  <c r="V33" i="5"/>
  <c r="U34" i="5"/>
  <c r="V46" i="5"/>
  <c r="U46" i="5"/>
  <c r="U36" i="5"/>
  <c r="U29" i="5"/>
  <c r="V45" i="5" l="1"/>
  <c r="T45" i="5"/>
  <c r="J45" i="5" s="1"/>
  <c r="U44" i="5"/>
  <c r="T51" i="5"/>
  <c r="V38" i="5"/>
  <c r="U51" i="5"/>
  <c r="T43" i="5"/>
  <c r="U38" i="5"/>
  <c r="N38" i="5" s="1"/>
  <c r="T22" i="5"/>
  <c r="N22" i="5" s="1"/>
  <c r="U22" i="5"/>
  <c r="F22" i="5" s="1"/>
  <c r="T24" i="5"/>
  <c r="R24" i="5" s="1"/>
  <c r="T42" i="5"/>
  <c r="N42" i="5" s="1"/>
  <c r="T39" i="5"/>
  <c r="J49" i="5"/>
  <c r="J52" i="5"/>
  <c r="V26" i="5"/>
  <c r="T26" i="5"/>
  <c r="R26" i="5" s="1"/>
  <c r="V35" i="5"/>
  <c r="T31" i="5"/>
  <c r="F45" i="5"/>
  <c r="F33" i="5"/>
  <c r="T27" i="5"/>
  <c r="V50" i="5"/>
  <c r="V44" i="5"/>
  <c r="T44" i="5"/>
  <c r="F44" i="5" s="1"/>
  <c r="T28" i="5"/>
  <c r="N28" i="5" s="1"/>
  <c r="V28" i="5"/>
  <c r="V39" i="5"/>
  <c r="F36" i="5"/>
  <c r="U39" i="5"/>
  <c r="N39" i="5" s="1"/>
  <c r="N51" i="5"/>
  <c r="F29" i="5"/>
  <c r="V32" i="5"/>
  <c r="F26" i="5"/>
  <c r="U32" i="5"/>
  <c r="J32" i="5" s="1"/>
  <c r="F49" i="5"/>
  <c r="T34" i="5"/>
  <c r="J34" i="5" s="1"/>
  <c r="V31" i="5"/>
  <c r="U42" i="5"/>
  <c r="J33" i="5"/>
  <c r="V40" i="5"/>
  <c r="R46" i="5"/>
  <c r="F51" i="5"/>
  <c r="V41" i="5"/>
  <c r="U40" i="5"/>
  <c r="R40" i="5" s="1"/>
  <c r="V23" i="5"/>
  <c r="V42" i="5"/>
  <c r="T41" i="5"/>
  <c r="F41" i="5" s="1"/>
  <c r="U23" i="5"/>
  <c r="R23" i="5" s="1"/>
  <c r="N48" i="5"/>
  <c r="F52" i="5"/>
  <c r="N52" i="5"/>
  <c r="R52" i="5"/>
  <c r="F38" i="5"/>
  <c r="N25" i="5"/>
  <c r="U31" i="5"/>
  <c r="R49" i="5"/>
  <c r="N29" i="5"/>
  <c r="U30" i="5"/>
  <c r="N45" i="5"/>
  <c r="T47" i="5"/>
  <c r="R47" i="5" s="1"/>
  <c r="T50" i="5"/>
  <c r="U50" i="5"/>
  <c r="R33" i="5"/>
  <c r="V37" i="5"/>
  <c r="V27" i="5"/>
  <c r="V47" i="5"/>
  <c r="T35" i="5"/>
  <c r="R35" i="5" s="1"/>
  <c r="U27" i="5"/>
  <c r="N46" i="5"/>
  <c r="N49" i="5"/>
  <c r="V43" i="5"/>
  <c r="T30" i="5"/>
  <c r="N36" i="5"/>
  <c r="U37" i="5"/>
  <c r="J37" i="5" s="1"/>
  <c r="F25" i="5"/>
  <c r="V25" i="5"/>
  <c r="U43" i="5"/>
  <c r="R29" i="5"/>
  <c r="R25" i="5"/>
  <c r="R51" i="5"/>
  <c r="J25" i="5"/>
  <c r="N33" i="5"/>
  <c r="R22" i="5"/>
  <c r="R36" i="5"/>
  <c r="J29" i="5"/>
  <c r="R45" i="5"/>
  <c r="J51" i="5"/>
  <c r="J36" i="5"/>
  <c r="F48" i="5"/>
  <c r="J48" i="5"/>
  <c r="F46" i="5"/>
  <c r="R48" i="5"/>
  <c r="J46" i="5"/>
  <c r="N24" i="5" l="1"/>
  <c r="J22" i="5"/>
  <c r="J38" i="5"/>
  <c r="R38" i="5"/>
  <c r="N43" i="5"/>
  <c r="J24" i="5"/>
  <c r="R30" i="5"/>
  <c r="N26" i="5"/>
  <c r="J42" i="5"/>
  <c r="J26" i="5"/>
  <c r="F24" i="5"/>
  <c r="R42" i="5"/>
  <c r="F43" i="5"/>
  <c r="F28" i="5"/>
  <c r="J44" i="5"/>
  <c r="J28" i="5"/>
  <c r="R28" i="5"/>
  <c r="R31" i="5"/>
  <c r="N27" i="5"/>
  <c r="F40" i="5"/>
  <c r="R39" i="5"/>
  <c r="R44" i="5"/>
  <c r="J39" i="5"/>
  <c r="N44" i="5"/>
  <c r="N30" i="5"/>
  <c r="F39" i="5"/>
  <c r="R32" i="5"/>
  <c r="F42" i="5"/>
  <c r="N32" i="5"/>
  <c r="J35" i="5"/>
  <c r="F32" i="5"/>
  <c r="J27" i="5"/>
  <c r="R34" i="5"/>
  <c r="F50" i="5"/>
  <c r="N35" i="5"/>
  <c r="R27" i="5"/>
  <c r="F34" i="5"/>
  <c r="F35" i="5"/>
  <c r="N34" i="5"/>
  <c r="F23" i="5"/>
  <c r="F31" i="5"/>
  <c r="N41" i="5"/>
  <c r="N40" i="5"/>
  <c r="J41" i="5"/>
  <c r="N23" i="5"/>
  <c r="J30" i="5"/>
  <c r="J23" i="5"/>
  <c r="N47" i="5"/>
  <c r="J40" i="5"/>
  <c r="N37" i="5"/>
  <c r="R41" i="5"/>
  <c r="F47" i="5"/>
  <c r="J50" i="5"/>
  <c r="N50" i="5"/>
  <c r="R50" i="5"/>
  <c r="R37" i="5"/>
  <c r="N31" i="5"/>
  <c r="F30" i="5"/>
  <c r="F27" i="5"/>
  <c r="F37" i="5"/>
  <c r="J43" i="5"/>
  <c r="J31" i="5"/>
  <c r="R43" i="5"/>
  <c r="J47" i="5"/>
  <c r="A6" i="5" l="1"/>
  <c r="B6" i="5"/>
  <c r="C6" i="5"/>
  <c r="D6" i="5"/>
  <c r="G6" i="5"/>
  <c r="H6" i="5"/>
  <c r="K6" i="5"/>
  <c r="L6" i="5"/>
  <c r="M6" i="5" s="1"/>
  <c r="O6" i="5"/>
  <c r="P6" i="5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I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P5" i="5"/>
  <c r="O5" i="5"/>
  <c r="L5" i="5"/>
  <c r="K5" i="5"/>
  <c r="H5" i="5"/>
  <c r="G5" i="5"/>
  <c r="D5" i="5"/>
  <c r="C5" i="5"/>
  <c r="B5" i="5"/>
  <c r="A5" i="5"/>
  <c r="B2" i="5"/>
  <c r="B1" i="5"/>
  <c r="Q8" i="5" l="1"/>
  <c r="E10" i="5"/>
  <c r="Q6" i="5"/>
  <c r="M19" i="5"/>
  <c r="I7" i="5"/>
  <c r="Q21" i="5"/>
  <c r="I9" i="5"/>
  <c r="E12" i="5"/>
  <c r="M16" i="5"/>
  <c r="I19" i="5"/>
  <c r="M7" i="5"/>
  <c r="E13" i="5"/>
  <c r="Q20" i="5"/>
  <c r="Q18" i="5"/>
  <c r="Q7" i="5"/>
  <c r="I18" i="5"/>
  <c r="E15" i="5"/>
  <c r="Q14" i="5"/>
  <c r="E7" i="5"/>
  <c r="Q17" i="5"/>
  <c r="M20" i="5"/>
  <c r="Q12" i="5"/>
  <c r="I13" i="5"/>
  <c r="E14" i="5"/>
  <c r="E17" i="5"/>
  <c r="M15" i="5"/>
  <c r="I10" i="5"/>
  <c r="E6" i="5"/>
  <c r="M10" i="5"/>
  <c r="E20" i="5"/>
  <c r="I11" i="5"/>
  <c r="E21" i="5"/>
  <c r="Q19" i="5"/>
  <c r="Q13" i="5"/>
  <c r="I12" i="5"/>
  <c r="E9" i="5"/>
  <c r="Q16" i="5"/>
  <c r="E16" i="5"/>
  <c r="I15" i="5"/>
  <c r="I20" i="5"/>
  <c r="M17" i="5"/>
  <c r="E11" i="5"/>
  <c r="M21" i="5"/>
  <c r="Q9" i="5"/>
  <c r="I21" i="5"/>
  <c r="M11" i="5"/>
  <c r="M9" i="5"/>
  <c r="M8" i="5"/>
  <c r="Q10" i="5"/>
  <c r="Q11" i="5"/>
  <c r="E18" i="5"/>
  <c r="I8" i="5"/>
  <c r="M14" i="5"/>
  <c r="Q15" i="5"/>
  <c r="I6" i="5"/>
  <c r="E8" i="5"/>
  <c r="E19" i="5"/>
  <c r="M12" i="5"/>
  <c r="I16" i="5"/>
  <c r="M18" i="5"/>
  <c r="I17" i="5"/>
  <c r="M13" i="5"/>
  <c r="M5" i="5"/>
  <c r="E5" i="5"/>
  <c r="I5" i="5"/>
  <c r="Q5" i="5"/>
  <c r="I58" i="5" l="1"/>
  <c r="Q58" i="5"/>
  <c r="M58" i="5"/>
  <c r="E58" i="5"/>
  <c r="T14" i="5"/>
  <c r="U7" i="5"/>
  <c r="T7" i="5"/>
  <c r="V20" i="5"/>
  <c r="V7" i="5"/>
  <c r="V18" i="5"/>
  <c r="T10" i="5"/>
  <c r="U20" i="5"/>
  <c r="T20" i="5"/>
  <c r="V14" i="5"/>
  <c r="T9" i="5"/>
  <c r="U9" i="5"/>
  <c r="V9" i="5"/>
  <c r="V21" i="5"/>
  <c r="V6" i="5"/>
  <c r="V13" i="5"/>
  <c r="U12" i="5"/>
  <c r="T18" i="5"/>
  <c r="U8" i="5"/>
  <c r="U19" i="5"/>
  <c r="V16" i="5"/>
  <c r="T12" i="5"/>
  <c r="T17" i="5"/>
  <c r="T8" i="5"/>
  <c r="T21" i="5"/>
  <c r="V8" i="5"/>
  <c r="V10" i="5"/>
  <c r="U21" i="5"/>
  <c r="U10" i="5"/>
  <c r="T16" i="5"/>
  <c r="V17" i="5"/>
  <c r="U18" i="5"/>
  <c r="T11" i="5"/>
  <c r="V12" i="5"/>
  <c r="T15" i="5"/>
  <c r="U13" i="5"/>
  <c r="U17" i="5"/>
  <c r="V15" i="5"/>
  <c r="T6" i="5"/>
  <c r="U16" i="5"/>
  <c r="U6" i="5"/>
  <c r="T19" i="5"/>
  <c r="T13" i="5"/>
  <c r="V19" i="5"/>
  <c r="U15" i="5"/>
  <c r="U14" i="5"/>
  <c r="V11" i="5"/>
  <c r="U11" i="5"/>
  <c r="V5" i="5"/>
  <c r="T5" i="5"/>
  <c r="U5" i="5"/>
  <c r="F9" i="5" l="1"/>
  <c r="R9" i="5"/>
  <c r="N9" i="5"/>
  <c r="J9" i="5"/>
  <c r="F7" i="5"/>
  <c r="N7" i="5"/>
  <c r="J7" i="5"/>
  <c r="R7" i="5"/>
  <c r="R18" i="5"/>
  <c r="N18" i="5"/>
  <c r="J18" i="5"/>
  <c r="F17" i="5"/>
  <c r="R17" i="5"/>
  <c r="N17" i="5"/>
  <c r="J17" i="5"/>
  <c r="F12" i="5"/>
  <c r="J12" i="5"/>
  <c r="R12" i="5"/>
  <c r="N12" i="5"/>
  <c r="F20" i="5"/>
  <c r="N20" i="5"/>
  <c r="R20" i="5"/>
  <c r="J20" i="5"/>
  <c r="N13" i="5"/>
  <c r="R13" i="5"/>
  <c r="J13" i="5"/>
  <c r="F10" i="5"/>
  <c r="R10" i="5"/>
  <c r="N10" i="5"/>
  <c r="J10" i="5"/>
  <c r="F14" i="5"/>
  <c r="R14" i="5"/>
  <c r="N14" i="5"/>
  <c r="J14" i="5"/>
  <c r="F21" i="5"/>
  <c r="R21" i="5"/>
  <c r="N21" i="5"/>
  <c r="J21" i="5"/>
  <c r="J5" i="5"/>
  <c r="R5" i="5"/>
  <c r="N5" i="5"/>
  <c r="F8" i="5"/>
  <c r="R8" i="5"/>
  <c r="N8" i="5"/>
  <c r="J8" i="5"/>
  <c r="F11" i="5"/>
  <c r="J11" i="5"/>
  <c r="R11" i="5"/>
  <c r="N11" i="5"/>
  <c r="F6" i="5"/>
  <c r="J6" i="5"/>
  <c r="R6" i="5"/>
  <c r="N6" i="5"/>
  <c r="J19" i="5"/>
  <c r="R19" i="5"/>
  <c r="N19" i="5"/>
  <c r="F15" i="5"/>
  <c r="R15" i="5"/>
  <c r="N15" i="5"/>
  <c r="J15" i="5"/>
  <c r="F16" i="5"/>
  <c r="R16" i="5"/>
  <c r="N16" i="5"/>
  <c r="J16" i="5"/>
  <c r="F5" i="5"/>
  <c r="F13" i="5"/>
  <c r="F19" i="5"/>
  <c r="F18" i="5"/>
  <c r="M56" i="5" l="1"/>
  <c r="M55" i="5"/>
  <c r="E56" i="5"/>
  <c r="E55" i="5"/>
  <c r="Q56" i="5"/>
  <c r="Q55" i="5"/>
  <c r="I56" i="5"/>
  <c r="I55" i="5"/>
  <c r="B56" i="5" l="1"/>
  <c r="B5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<sst xmlns="http://schemas.openxmlformats.org/spreadsheetml/2006/main" count="1391" uniqueCount="94">
  <si>
    <t>IN</t>
  </si>
  <si>
    <t>OUT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</si>
  <si>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</si>
  <si>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</si>
  <si>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</si>
  <si>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</si>
  <si>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</si>
  <si>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</si>
  <si>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</si>
  <si>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</si>
  <si>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</si>
  <si>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</si>
  <si>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</si>
  <si>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</si>
  <si>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</si>
  <si>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</si>
  <si>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</si>
  <si>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</si>
  <si>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</si>
  <si>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</si>
  <si>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</si>
  <si>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</si>
  <si>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</si>
  <si>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</si>
  <si>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</si>
  <si>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</si>
  <si>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</si>
  <si>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</si>
  <si>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</si>
  <si>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</si>
  <si>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</si>
  <si>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</si>
  <si>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</si>
  <si>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</si>
  <si>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</si>
  <si>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</si>
  <si>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</si>
  <si>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</si>
  <si>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</si>
  <si>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</si>
  <si>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</si>
  <si>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</si>
  <si>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</si>
  <si>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</si>
  <si>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hl7_9.2.0_2_fhir_9.2.0</t>
  </si>
  <si>
    <t>av-mp-va-tst-1-1-ingangsdatum-einddatum-v20.xml</t>
  </si>
  <si>
    <t>sturen_afhandeling_medicatievoorschrift</t>
  </si>
  <si>
    <t>av-mp-va-tst-1-2a-ingangsdatum-duur-weken-v20.xml</t>
  </si>
  <si>
    <t>av-mp-va-tst-1-2b-ingangsdatum-duur-dagen-v20.xml</t>
  </si>
  <si>
    <t>av-mp-va-tst-1-3-chronische-medicatie-v20.xml</t>
  </si>
  <si>
    <t>av-mp-va-tst-1-4-extra-mve-v20.xml</t>
  </si>
  <si>
    <t>av-mp-va-tst-1-5-eenheid-dosis-stuks-v20.xml</t>
  </si>
  <si>
    <t>av-mp-va-tst-10-1-hpk-geneesmiddel-v20.xml</t>
  </si>
  <si>
    <t>av-mp-va-tst-10-2-zi-nummer-geneesmiddel-v20.xml</t>
  </si>
  <si>
    <t>av-mp-va-tst-11-1-externdoseerschema-v20.xml</t>
  </si>
  <si>
    <t>av-mp-va-tst-2-1-aanvullendeinstructie-v20.xml</t>
  </si>
  <si>
    <t>av-mp-va-tst-2-2-toelichting-v20.xml</t>
  </si>
  <si>
    <t>av-mp-va-tst-2-3-redenvanvoorschrijven-v20.xml</t>
  </si>
  <si>
    <t>av-mp-va-tst-2-4-aanvullendeinformatie-v20.xml</t>
  </si>
  <si>
    <t>av-mp-va-tst-2-5-toedieningsweg-v20.xml</t>
  </si>
  <si>
    <t>av-mp-va-tst-3-1a-stoppen-v20.xml</t>
  </si>
  <si>
    <t>av-mp-va-tst-3-1b-stoppen-v20.xml</t>
  </si>
  <si>
    <t>av-mp-va-tst-3-2a-wijzigen-verhoging-v20.xml</t>
  </si>
  <si>
    <t>av-mp-va-tst-3-2b-wijzigen-verhoging-v20.xml</t>
  </si>
  <si>
    <t>av-mp-va-tst-3-3a-wijzigen-verlaging-v20.xml</t>
  </si>
  <si>
    <t>av-mp-va-tst-3-3b-wijzigen-verlaging-v20.xml</t>
  </si>
  <si>
    <t>av-mp-va-tst-3-4a-onderbreken-v20.xml</t>
  </si>
  <si>
    <t>av-mp-va-tst-3-4b-onderbreken-v20.xml</t>
  </si>
  <si>
    <t>av-mp-va-tst-3-5a-wijzigenTA-v20.xml</t>
  </si>
  <si>
    <t>av-mp-va-tst-3-5b-wijzigenTA-v20.xml</t>
  </si>
  <si>
    <t>av-mp-va-tst-6-1-variabele-frequentie-v20.xml</t>
  </si>
  <si>
    <t>av-mp-va-tst-6-10-cyclisch-schema-v20.xml</t>
  </si>
  <si>
    <t>av-mp-va-tst-6-11-afbouwschema-v20.xml</t>
  </si>
  <si>
    <t>av-mp-va-tst-6-12-variabele-hoeveelheid-en-maximum-v20.xml</t>
  </si>
  <si>
    <t>av-mp-va-tst-6-13-toedieningssnelheid-v20.xml</t>
  </si>
  <si>
    <t>av-mp-va-tst-6-14-toedieningsduur-v20.xml</t>
  </si>
  <si>
    <t>av-mp-va-tst-6-15-zonodig-v20.xml</t>
  </si>
  <si>
    <t>av-mp-va-tst-6-2-interval-v20.xml</t>
  </si>
  <si>
    <t>av-mp-va-tst-6-3-variabele-hoeveelheid-v20.xml</t>
  </si>
  <si>
    <t>av-mp-va-tst-6-4-zonder-keerdosis-v20.xml</t>
  </si>
  <si>
    <t>av-mp-va-tst-6-5-bijzondere-keerdosis-v20.xml</t>
  </si>
  <si>
    <t>av-mp-va-tst-6-6-variabele-hoeveelheid-2-v20.xml</t>
  </si>
  <si>
    <t>av-mp-va-tst-6-7a-tijdstippen-flexibel-v20.xml</t>
  </si>
  <si>
    <t>av-mp-va-tst-6-7b-tijdstippen-niet-flexibe-v20.xml</t>
  </si>
  <si>
    <t>av-mp-va-tst-6-8-weekdagen-v20.xml</t>
  </si>
  <si>
    <t>av-mp-va-tst-6-9-dagdeel-v20.xml</t>
  </si>
  <si>
    <t>av-mp-va-tst-7-1-alle-ingredienten-v20.xml</t>
  </si>
  <si>
    <t>av-mp-va-tst-7-2-actief-ingredient-v20.xml</t>
  </si>
  <si>
    <t>av-mp-va-tst-7-3-90-miljoen-nr-v20.xml</t>
  </si>
  <si>
    <t>av-mp-va-tst-9-1a-verbruiksperiode-start-eind-v20.xml</t>
  </si>
  <si>
    <t>av-mp-va-tst-9-1b-verbruiksperiode-einddatum-v20.xml</t>
  </si>
  <si>
    <t>av-mp-va-tst-9-1c-verbruiksperiode-duur-v20.xml</t>
  </si>
  <si>
    <t>av-mp-va-tst-9-2-herhalingen-v20.xml</t>
  </si>
  <si>
    <t>av-mp-va-tst-9-3-afleverlocatie-v20.xml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</si>
</sst>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2"/>
  <sheetViews>
    <sheetView tabSelected="1" workbookViewId="0">
      <selection activeCell="A51" sqref="A51:V52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4.5" style="2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25</v>
      </c>
      <c r="B1" t="str">
        <f>'9.7.0.18'!I1</f>
        <v>sturen_afhandeling_medicatievoorschrift</v>
      </c>
    </row>
    <row r="2" spans="1:22" x14ac:dyDescent="0.2">
      <c r="A2" t="s">
        <v>26</v>
      </c>
      <c r="B2" t="str">
        <f>'9.7.0.18'!J1</f>
        <v>hl7_9.2.0_2_fhir_9.2.0</v>
      </c>
    </row>
    <row r="3" spans="1:22" x14ac:dyDescent="0.2">
      <c r="C3" t="s">
        <v>3</v>
      </c>
      <c r="G3" t="s">
        <v>24</v>
      </c>
      <c r="K3" t="s">
        <v>7</v>
      </c>
      <c r="O3" t="s">
        <v>8</v>
      </c>
    </row>
    <row r="4" spans="1:22" x14ac:dyDescent="0.2">
      <c r="A4" t="s">
        <v>2</v>
      </c>
      <c r="B4" t="s">
        <v>33</v>
      </c>
      <c r="C4" t="s">
        <v>4</v>
      </c>
      <c r="D4" t="s">
        <v>5</v>
      </c>
      <c r="E4" s="2" t="s">
        <v>6</v>
      </c>
      <c r="G4" t="s">
        <v>4</v>
      </c>
      <c r="H4" t="s">
        <v>5</v>
      </c>
      <c r="I4" s="2" t="s">
        <v>6</v>
      </c>
      <c r="K4" t="s">
        <v>4</v>
      </c>
      <c r="L4" t="s">
        <v>5</v>
      </c>
      <c r="M4" s="2" t="s">
        <v>6</v>
      </c>
      <c r="O4" t="s">
        <v>4</v>
      </c>
      <c r="P4" t="s">
        <v>5</v>
      </c>
      <c r="Q4" s="2" t="s">
        <v>6</v>
      </c>
      <c r="T4" s="2" t="s">
        <v>10</v>
      </c>
      <c r="U4" s="2" t="s">
        <v>11</v>
      </c>
      <c r="V4" s="2" t="s">
        <v>9</v>
      </c>
    </row>
    <row r="5" spans="1:22" x14ac:dyDescent="0.2">
      <c r="A5" t="str">
        <f>'9.7.0.18'!$H1</f>
        <v>av-mp-va-tst-1-1-ingangsdatum-einddatum-v20.xml</v>
      </c>
      <c r="B5" s="5">
        <f>'9.7.0.18'!$C1</f>
        <v>9651</v>
      </c>
      <c r="C5" s="1">
        <f>'9.7.0.18'!$E1</f>
        <v>8.8379910000000006</v>
      </c>
      <c r="D5" s="1">
        <f>'9.7.0.18'!$G1</f>
        <v>32.122230000000002</v>
      </c>
      <c r="E5" s="3">
        <f t="shared" ref="E5" si="0">C5+D5</f>
        <v>40.960221000000004</v>
      </c>
      <c r="F5" s="3" t="str">
        <f>IF(E5=$T5,"L",IF(E5=$U5,"H",""))</f>
        <v>H</v>
      </c>
      <c r="G5" s="1">
        <f>'9.8.0.15'!$E1</f>
        <v>7.457249</v>
      </c>
      <c r="H5" s="1">
        <f>'9.8.0.15'!$G1</f>
        <v>29.292607</v>
      </c>
      <c r="I5" s="3">
        <f t="shared" ref="I5" si="1">G5+H5</f>
        <v>36.749856000000001</v>
      </c>
      <c r="J5" s="3" t="str">
        <f>IF(I5=$T5,"L",IF(I5=$U5,"H",""))</f>
        <v/>
      </c>
      <c r="K5" s="1">
        <f>'9.9.1.8'!$E1</f>
        <v>8.7177919999999993</v>
      </c>
      <c r="L5" s="1">
        <f>'9.9.1.8'!$G1</f>
        <v>27.594923999999999</v>
      </c>
      <c r="M5" s="3">
        <f t="shared" ref="M5" si="2">K5+L5</f>
        <v>36.312715999999995</v>
      </c>
      <c r="N5" s="3" t="str">
        <f>IF(M5=$T5,"L",IF(M5=$U5,"H",""))</f>
        <v/>
      </c>
      <c r="O5" s="1">
        <f>'11.4'!$E1</f>
        <v>7.1696039999999996</v>
      </c>
      <c r="P5" s="1">
        <f>'11.4'!$G1</f>
        <v>25.160675000000001</v>
      </c>
      <c r="Q5" s="3">
        <f t="shared" ref="Q5" si="3">O5+P5</f>
        <v>32.330279000000004</v>
      </c>
      <c r="R5" s="3" t="str">
        <f>IF(Q5=$T5,"L",IF(Q5=$U5,"H",""))</f>
        <v>L</v>
      </c>
      <c r="T5" s="1">
        <f>MIN($E5,$I5,$M5,$Q5)</f>
        <v>32.330279000000004</v>
      </c>
      <c r="U5" s="1">
        <f>MAX($E5,$I5,$M5,$Q5)</f>
        <v>40.960221000000004</v>
      </c>
      <c r="V5" s="1">
        <f>AVERAGE($E5,$I5,$M5,$Q5)</f>
        <v>36.588267999999999</v>
      </c>
    </row>
    <row r="6" spans="1:22" x14ac:dyDescent="0.2">
      <c r="A6" t="str">
        <f>'9.7.0.18'!$H2</f>
        <v>av-mp-va-tst-1-2a-ingangsdatum-duur-weken-v20.xml</v>
      </c>
      <c r="B6" s="5">
        <f>'9.7.0.18'!$C2</f>
        <v>9631</v>
      </c>
      <c r="C6" s="1">
        <f>'9.7.0.18'!$E2</f>
        <v>7.1604210000000004</v>
      </c>
      <c r="D6" s="1">
        <f>'9.7.0.18'!$G2</f>
        <v>29.362313</v>
      </c>
      <c r="E6" s="3">
        <f t="shared" ref="E6:E21" si="4">C6+D6</f>
        <v>36.522734</v>
      </c>
      <c r="F6" s="3" t="str">
        <f>IF(E6=$T6,"L",IF(E6=$U6,"H",""))</f>
        <v/>
      </c>
      <c r="G6" s="1">
        <f>'9.8.0.15'!$E2</f>
        <v>7.5217520000000002</v>
      </c>
      <c r="H6" s="1">
        <f>'9.8.0.15'!$G2</f>
        <v>32.484099000000001</v>
      </c>
      <c r="I6" s="3">
        <f t="shared" ref="I6:I21" si="5">G6+H6</f>
        <v>40.005851</v>
      </c>
      <c r="J6" s="3" t="str">
        <f t="shared" ref="J6:J52" si="6">IF(I6=$T6,"L",IF(I6=$U6,"H",""))</f>
        <v>H</v>
      </c>
      <c r="K6" s="1">
        <f>'9.9.1.8'!$E2</f>
        <v>7.9099950000000003</v>
      </c>
      <c r="L6" s="1">
        <f>'9.9.1.8'!$G2</f>
        <v>30.380421999999999</v>
      </c>
      <c r="M6" s="3">
        <f t="shared" ref="M6:M21" si="7">K6+L6</f>
        <v>38.290416999999998</v>
      </c>
      <c r="N6" s="3" t="str">
        <f t="shared" ref="N6:N52" si="8">IF(M6=$T6,"L",IF(M6=$U6,"H",""))</f>
        <v/>
      </c>
      <c r="O6" s="1">
        <f>'11.4'!$E2</f>
        <v>6.3646279999999997</v>
      </c>
      <c r="P6" s="1">
        <f>'11.4'!$G2</f>
        <v>23.528832999999999</v>
      </c>
      <c r="Q6" s="3">
        <f t="shared" ref="Q6:Q21" si="9">O6+P6</f>
        <v>29.893460999999999</v>
      </c>
      <c r="R6" s="3" t="str">
        <f t="shared" ref="R6:R52" si="10">IF(Q6=$T6,"L",IF(Q6=$U6,"H",""))</f>
        <v>L</v>
      </c>
      <c r="T6" s="1">
        <f>MIN($E6,$I6,$M6,$Q6)</f>
        <v>29.893460999999999</v>
      </c>
      <c r="U6" s="1">
        <f>MAX($E6,$I6,$M6,$Q6)</f>
        <v>40.005851</v>
      </c>
      <c r="V6" s="1">
        <f>AVERAGE($E6,$I6,$M6,$Q6)</f>
        <v>36.178115749999996</v>
      </c>
    </row>
    <row r="7" spans="1:22" x14ac:dyDescent="0.2">
      <c r="A7" t="str">
        <f>'9.7.0.18'!$H3</f>
        <v>av-mp-va-tst-1-2b-ingangsdatum-duur-dagen-v20.xml</v>
      </c>
      <c r="B7" s="5">
        <f>'9.7.0.18'!$C3</f>
        <v>9649</v>
      </c>
      <c r="C7" s="1">
        <f>'9.7.0.18'!$E3</f>
        <v>8.2446819999999992</v>
      </c>
      <c r="D7" s="1">
        <f>'9.7.0.18'!$G3</f>
        <v>28.346554999999999</v>
      </c>
      <c r="E7" s="3">
        <f t="shared" si="4"/>
        <v>36.591237</v>
      </c>
      <c r="F7" s="3" t="str">
        <f>IF(E7=$T7,"L",IF(E7=$U7,"H",""))</f>
        <v/>
      </c>
      <c r="G7" s="1">
        <f>'9.8.0.15'!$E3</f>
        <v>7.065817</v>
      </c>
      <c r="H7" s="1">
        <f>'9.8.0.15'!$G3</f>
        <v>28.594853000000001</v>
      </c>
      <c r="I7" s="3">
        <f t="shared" si="5"/>
        <v>35.660670000000003</v>
      </c>
      <c r="J7" s="3" t="str">
        <f t="shared" si="6"/>
        <v/>
      </c>
      <c r="K7" s="1">
        <f>'9.9.1.8'!$E3</f>
        <v>7.3128039999999999</v>
      </c>
      <c r="L7" s="1">
        <f>'9.9.1.8'!$G3</f>
        <v>31.383358000000001</v>
      </c>
      <c r="M7" s="3">
        <f t="shared" si="7"/>
        <v>38.696162000000001</v>
      </c>
      <c r="N7" s="3" t="str">
        <f t="shared" si="8"/>
        <v>H</v>
      </c>
      <c r="O7" s="1">
        <f>'11.4'!$E3</f>
        <v>6.6093570000000001</v>
      </c>
      <c r="P7" s="1">
        <f>'11.4'!$G3</f>
        <v>25.914531</v>
      </c>
      <c r="Q7" s="3">
        <f t="shared" si="9"/>
        <v>32.523887999999999</v>
      </c>
      <c r="R7" s="3" t="str">
        <f t="shared" si="10"/>
        <v>L</v>
      </c>
      <c r="T7" s="1">
        <f>MIN($E7,$I7,$M7,$Q7)</f>
        <v>32.523887999999999</v>
      </c>
      <c r="U7" s="1">
        <f>MAX($E7,$I7,$M7,$Q7)</f>
        <v>38.696162000000001</v>
      </c>
      <c r="V7" s="1">
        <f>AVERAGE($E7,$I7,$M7,$Q7)</f>
        <v>35.867989250000001</v>
      </c>
    </row>
    <row r="8" spans="1:22" x14ac:dyDescent="0.2">
      <c r="A8" t="str">
        <f>'9.7.0.18'!$H4</f>
        <v>av-mp-va-tst-1-3-chronische-medicatie-v20.xml</v>
      </c>
      <c r="B8" s="5">
        <f>'9.7.0.18'!$C4</f>
        <v>9673</v>
      </c>
      <c r="C8" s="1">
        <f>'9.7.0.18'!$E4</f>
        <v>8.1502189999999999</v>
      </c>
      <c r="D8" s="1">
        <f>'9.7.0.18'!$G4</f>
        <v>28.525192000000001</v>
      </c>
      <c r="E8" s="3">
        <f t="shared" si="4"/>
        <v>36.675410999999997</v>
      </c>
      <c r="F8" s="3" t="str">
        <f>IF(E8=$T8,"L",IF(E8=$U8,"H",""))</f>
        <v/>
      </c>
      <c r="G8" s="1">
        <f>'9.8.0.15'!$E4</f>
        <v>7.5029279999999998</v>
      </c>
      <c r="H8" s="1">
        <f>'9.8.0.15'!$G4</f>
        <v>31.187930000000001</v>
      </c>
      <c r="I8" s="3">
        <f t="shared" si="5"/>
        <v>38.690857999999999</v>
      </c>
      <c r="J8" s="3" t="str">
        <f t="shared" si="6"/>
        <v>H</v>
      </c>
      <c r="K8" s="1">
        <f>'9.9.1.8'!$E4</f>
        <v>6.9175719999999998</v>
      </c>
      <c r="L8" s="1">
        <f>'9.9.1.8'!$G4</f>
        <v>27.183734000000001</v>
      </c>
      <c r="M8" s="3">
        <f t="shared" si="7"/>
        <v>34.101306000000001</v>
      </c>
      <c r="N8" s="3" t="str">
        <f t="shared" si="8"/>
        <v/>
      </c>
      <c r="O8" s="1">
        <f>'11.4'!$E4</f>
        <v>7.2530749999999999</v>
      </c>
      <c r="P8" s="1">
        <f>'11.4'!$G4</f>
        <v>26.710515999999998</v>
      </c>
      <c r="Q8" s="3">
        <f t="shared" si="9"/>
        <v>33.963591000000001</v>
      </c>
      <c r="R8" s="3" t="str">
        <f t="shared" si="10"/>
        <v>L</v>
      </c>
      <c r="T8" s="1">
        <f>MIN($E8,$I8,$M8,$Q8)</f>
        <v>33.963591000000001</v>
      </c>
      <c r="U8" s="1">
        <f>MAX($E8,$I8,$M8,$Q8)</f>
        <v>38.690857999999999</v>
      </c>
      <c r="V8" s="1">
        <f>AVERAGE($E8,$I8,$M8,$Q8)</f>
        <v>35.857791499999998</v>
      </c>
    </row>
    <row r="9" spans="1:22" x14ac:dyDescent="0.2">
      <c r="A9" t="str">
        <f>'9.7.0.18'!$H5</f>
        <v>av-mp-va-tst-1-4-extra-mve-v20.xml</v>
      </c>
      <c r="B9" s="5">
        <f>'9.7.0.18'!$C5</f>
        <v>9709</v>
      </c>
      <c r="C9" s="1">
        <f>'9.7.0.18'!$E5</f>
        <v>12.229324</v>
      </c>
      <c r="D9" s="1">
        <f>'9.7.0.18'!$G5</f>
        <v>28.972975999999999</v>
      </c>
      <c r="E9" s="3">
        <f t="shared" si="4"/>
        <v>41.202300000000001</v>
      </c>
      <c r="F9" s="3" t="str">
        <f>IF(E9=$T9,"L",IF(E9=$U9,"H",""))</f>
        <v/>
      </c>
      <c r="G9" s="1">
        <f>'9.8.0.15'!$E5</f>
        <v>7.8868270000000003</v>
      </c>
      <c r="H9" s="1">
        <f>'9.8.0.15'!$G5</f>
        <v>32.056918000000003</v>
      </c>
      <c r="I9" s="3">
        <f t="shared" si="5"/>
        <v>39.943745000000007</v>
      </c>
      <c r="J9" s="3" t="str">
        <f t="shared" si="6"/>
        <v/>
      </c>
      <c r="K9" s="1">
        <f>'9.9.1.8'!$E5</f>
        <v>7.1924109999999999</v>
      </c>
      <c r="L9" s="1">
        <f>'9.9.1.8'!$G5</f>
        <v>36.457391000000001</v>
      </c>
      <c r="M9" s="3">
        <f t="shared" si="7"/>
        <v>43.649802000000001</v>
      </c>
      <c r="N9" s="3" t="str">
        <f t="shared" si="8"/>
        <v>H</v>
      </c>
      <c r="O9" s="1">
        <f>'11.4'!$E5</f>
        <v>7.3510660000000003</v>
      </c>
      <c r="P9" s="1">
        <f>'11.4'!$G5</f>
        <v>25.935777999999999</v>
      </c>
      <c r="Q9" s="3">
        <f t="shared" si="9"/>
        <v>33.286844000000002</v>
      </c>
      <c r="R9" s="3" t="str">
        <f t="shared" si="10"/>
        <v>L</v>
      </c>
      <c r="T9" s="1">
        <f>MIN($E9,$I9,$M9,$Q9)</f>
        <v>33.286844000000002</v>
      </c>
      <c r="U9" s="1">
        <f>MAX($E9,$I9,$M9,$Q9)</f>
        <v>43.649802000000001</v>
      </c>
      <c r="V9" s="1">
        <f>AVERAGE($E9,$I9,$M9,$Q9)</f>
        <v>39.520672750000003</v>
      </c>
    </row>
    <row r="10" spans="1:22" x14ac:dyDescent="0.2">
      <c r="A10" t="str">
        <f>'9.7.0.18'!$H6</f>
        <v>av-mp-va-tst-1-5-eenheid-dosis-stuks-v20.xml</v>
      </c>
      <c r="B10" s="5">
        <f>'9.7.0.18'!$C6</f>
        <v>9735</v>
      </c>
      <c r="C10" s="1">
        <f>'9.7.0.18'!$E6</f>
        <v>7.8817740000000001</v>
      </c>
      <c r="D10" s="1">
        <f>'9.7.0.18'!$G6</f>
        <v>29.368884999999999</v>
      </c>
      <c r="E10" s="3">
        <f t="shared" si="4"/>
        <v>37.250658999999999</v>
      </c>
      <c r="F10" s="3" t="str">
        <f>IF(E10=$T10,"L",IF(E10=$U10,"H",""))</f>
        <v/>
      </c>
      <c r="G10" s="1">
        <f>'9.8.0.15'!$E6</f>
        <v>7.8878349999999999</v>
      </c>
      <c r="H10" s="1">
        <f>'9.8.0.15'!$G6</f>
        <v>28.901567</v>
      </c>
      <c r="I10" s="3">
        <f t="shared" si="5"/>
        <v>36.789402000000003</v>
      </c>
      <c r="J10" s="3" t="str">
        <f t="shared" si="6"/>
        <v/>
      </c>
      <c r="K10" s="1">
        <f>'9.9.1.8'!$E6</f>
        <v>8.8602930000000004</v>
      </c>
      <c r="L10" s="1">
        <f>'9.9.1.8'!$G6</f>
        <v>32.798597000000001</v>
      </c>
      <c r="M10" s="3">
        <f t="shared" si="7"/>
        <v>41.65889</v>
      </c>
      <c r="N10" s="3" t="str">
        <f t="shared" si="8"/>
        <v>H</v>
      </c>
      <c r="O10" s="1">
        <f>'11.4'!$E6</f>
        <v>6.6918899999999999</v>
      </c>
      <c r="P10" s="1">
        <f>'11.4'!$G6</f>
        <v>25.982837</v>
      </c>
      <c r="Q10" s="3">
        <f t="shared" si="9"/>
        <v>32.674726999999997</v>
      </c>
      <c r="R10" s="3" t="str">
        <f t="shared" si="10"/>
        <v>L</v>
      </c>
      <c r="T10" s="1">
        <f>MIN($E10,$I10,$M10,$Q10)</f>
        <v>32.674726999999997</v>
      </c>
      <c r="U10" s="1">
        <f>MAX($E10,$I10,$M10,$Q10)</f>
        <v>41.65889</v>
      </c>
      <c r="V10" s="1">
        <f>AVERAGE($E10,$I10,$M10,$Q10)</f>
        <v>37.093419500000003</v>
      </c>
    </row>
    <row r="11" spans="1:22" x14ac:dyDescent="0.2">
      <c r="A11" t="str">
        <f>'9.7.0.18'!$H7</f>
        <v>av-mp-va-tst-10-1-hpk-geneesmiddel-v20.xml</v>
      </c>
      <c r="B11" s="5">
        <f>'9.7.0.18'!$C7</f>
        <v>9671</v>
      </c>
      <c r="C11" s="1">
        <f>'9.7.0.18'!$E7</f>
        <v>7.4670050000000003</v>
      </c>
      <c r="D11" s="1">
        <f>'9.7.0.18'!$G7</f>
        <v>31.895565000000001</v>
      </c>
      <c r="E11" s="3">
        <f t="shared" si="4"/>
        <v>39.362570000000005</v>
      </c>
      <c r="F11" s="3" t="str">
        <f>IF(E11=$T11,"L",IF(E11=$U11,"H",""))</f>
        <v/>
      </c>
      <c r="G11" s="1">
        <f>'9.8.0.15'!$E7</f>
        <v>8.2531320000000008</v>
      </c>
      <c r="H11" s="1">
        <f>'9.8.0.15'!$G7</f>
        <v>29.244980000000002</v>
      </c>
      <c r="I11" s="3">
        <f t="shared" si="5"/>
        <v>37.498112000000006</v>
      </c>
      <c r="J11" s="3" t="str">
        <f t="shared" si="6"/>
        <v/>
      </c>
      <c r="K11" s="1">
        <f>'9.9.1.8'!$E7</f>
        <v>8.860595</v>
      </c>
      <c r="L11" s="1">
        <f>'9.9.1.8'!$G7</f>
        <v>36.631205999999999</v>
      </c>
      <c r="M11" s="3">
        <f t="shared" si="7"/>
        <v>45.491800999999995</v>
      </c>
      <c r="N11" s="3" t="str">
        <f t="shared" si="8"/>
        <v>H</v>
      </c>
      <c r="O11" s="1">
        <f>'11.4'!$E7</f>
        <v>7.3018190000000001</v>
      </c>
      <c r="P11" s="1">
        <f>'11.4'!$G7</f>
        <v>28.657447000000001</v>
      </c>
      <c r="Q11" s="3">
        <f t="shared" si="9"/>
        <v>35.959266</v>
      </c>
      <c r="R11" s="3" t="str">
        <f t="shared" si="10"/>
        <v>L</v>
      </c>
      <c r="T11" s="1">
        <f>MIN($E11,$I11,$M11,$Q11)</f>
        <v>35.959266</v>
      </c>
      <c r="U11" s="1">
        <f>MAX($E11,$I11,$M11,$Q11)</f>
        <v>45.491800999999995</v>
      </c>
      <c r="V11" s="1">
        <f>AVERAGE($E11,$I11,$M11,$Q11)</f>
        <v>39.577937250000005</v>
      </c>
    </row>
    <row r="12" spans="1:22" x14ac:dyDescent="0.2">
      <c r="A12" t="str">
        <f>'9.7.0.18'!$H8</f>
        <v>av-mp-va-tst-10-2-zi-nummer-geneesmiddel-v20.xml</v>
      </c>
      <c r="B12" s="5">
        <f>'9.7.0.18'!$C8</f>
        <v>10239</v>
      </c>
      <c r="C12" s="1">
        <f>'9.7.0.18'!$E8</f>
        <v>8.4774419999999999</v>
      </c>
      <c r="D12" s="1">
        <f>'9.7.0.18'!$G8</f>
        <v>27.129798999999998</v>
      </c>
      <c r="E12" s="3">
        <f t="shared" si="4"/>
        <v>35.607241000000002</v>
      </c>
      <c r="F12" s="3" t="str">
        <f>IF(E12=$T12,"L",IF(E12=$U12,"H",""))</f>
        <v/>
      </c>
      <c r="G12" s="1">
        <f>'9.8.0.15'!$E8</f>
        <v>8.1614559999999994</v>
      </c>
      <c r="H12" s="1">
        <f>'9.8.0.15'!$G8</f>
        <v>27.056435</v>
      </c>
      <c r="I12" s="3">
        <f t="shared" si="5"/>
        <v>35.217891000000002</v>
      </c>
      <c r="J12" s="3" t="str">
        <f t="shared" si="6"/>
        <v>L</v>
      </c>
      <c r="K12" s="1">
        <f>'9.9.1.8'!$E8</f>
        <v>9.2261950000000006</v>
      </c>
      <c r="L12" s="1">
        <f>'9.9.1.8'!$G8</f>
        <v>29.367659</v>
      </c>
      <c r="M12" s="3">
        <f t="shared" si="7"/>
        <v>38.593854</v>
      </c>
      <c r="N12" s="3" t="str">
        <f t="shared" si="8"/>
        <v/>
      </c>
      <c r="O12" s="1">
        <f>'11.4'!$E8</f>
        <v>8.9660080000000004</v>
      </c>
      <c r="P12" s="1">
        <f>'11.4'!$G8</f>
        <v>32.444263999999997</v>
      </c>
      <c r="Q12" s="3">
        <f t="shared" si="9"/>
        <v>41.410271999999999</v>
      </c>
      <c r="R12" s="3" t="str">
        <f t="shared" si="10"/>
        <v>H</v>
      </c>
      <c r="T12" s="1">
        <f>MIN($E12,$I12,$M12,$Q12)</f>
        <v>35.217891000000002</v>
      </c>
      <c r="U12" s="1">
        <f>MAX($E12,$I12,$M12,$Q12)</f>
        <v>41.410271999999999</v>
      </c>
      <c r="V12" s="1">
        <f>AVERAGE($E12,$I12,$M12,$Q12)</f>
        <v>37.707314499999995</v>
      </c>
    </row>
    <row r="13" spans="1:22" x14ac:dyDescent="0.2">
      <c r="A13" t="str">
        <f>'9.7.0.18'!$H9</f>
        <v>av-mp-va-tst-11-1-externdoseerschema-v20.xml</v>
      </c>
      <c r="B13" s="5">
        <f>'9.7.0.18'!$C9</f>
        <v>8848</v>
      </c>
      <c r="C13" s="1">
        <f>'9.7.0.18'!$E9</f>
        <v>6.7812979999999996</v>
      </c>
      <c r="D13" s="1">
        <f>'9.7.0.18'!$G9</f>
        <v>25.329433999999999</v>
      </c>
      <c r="E13" s="3">
        <f t="shared" si="4"/>
        <v>32.110731999999999</v>
      </c>
      <c r="F13" s="3" t="str">
        <f>IF(E13=$T13,"L",IF(E13=$U13,"H",""))</f>
        <v>L</v>
      </c>
      <c r="G13" s="1">
        <f>'9.8.0.15'!$E9</f>
        <v>7.6161310000000002</v>
      </c>
      <c r="H13" s="1">
        <f>'9.8.0.15'!$G9</f>
        <v>27.138477999999999</v>
      </c>
      <c r="I13" s="3">
        <f t="shared" si="5"/>
        <v>34.754609000000002</v>
      </c>
      <c r="J13" s="3" t="str">
        <f t="shared" si="6"/>
        <v/>
      </c>
      <c r="K13" s="1">
        <f>'9.9.1.8'!$E9</f>
        <v>8.2799189999999996</v>
      </c>
      <c r="L13" s="1">
        <f>'9.9.1.8'!$G9</f>
        <v>31.095257</v>
      </c>
      <c r="M13" s="3">
        <f t="shared" si="7"/>
        <v>39.375175999999996</v>
      </c>
      <c r="N13" s="3" t="str">
        <f t="shared" si="8"/>
        <v>H</v>
      </c>
      <c r="O13" s="1">
        <f>'11.4'!$E9</f>
        <v>7.1450529999999999</v>
      </c>
      <c r="P13" s="1">
        <f>'11.4'!$G9</f>
        <v>25.358167999999999</v>
      </c>
      <c r="Q13" s="3">
        <f t="shared" si="9"/>
        <v>32.503220999999996</v>
      </c>
      <c r="R13" s="3" t="str">
        <f t="shared" si="10"/>
        <v/>
      </c>
      <c r="T13" s="1">
        <f>MIN($E13,$I13,$M13,$Q13)</f>
        <v>32.110731999999999</v>
      </c>
      <c r="U13" s="1">
        <f>MAX($E13,$I13,$M13,$Q13)</f>
        <v>39.375175999999996</v>
      </c>
      <c r="V13" s="1">
        <f>AVERAGE($E13,$I13,$M13,$Q13)</f>
        <v>34.685934500000002</v>
      </c>
    </row>
    <row r="14" spans="1:22" x14ac:dyDescent="0.2">
      <c r="A14" t="str">
        <f>'9.7.0.18'!$H10</f>
        <v>av-mp-va-tst-2-1-aanvullendeinstructie-v20.xml</v>
      </c>
      <c r="B14" s="5">
        <f>'9.7.0.18'!$C10</f>
        <v>10119</v>
      </c>
      <c r="C14" s="1">
        <f>'9.7.0.18'!$E10</f>
        <v>7.9238140000000001</v>
      </c>
      <c r="D14" s="1">
        <f>'9.7.0.18'!$G10</f>
        <v>32.351387000000003</v>
      </c>
      <c r="E14" s="3">
        <f t="shared" si="4"/>
        <v>40.275201000000003</v>
      </c>
      <c r="F14" s="3" t="str">
        <f>IF(E14=$T14,"L",IF(E14=$U14,"H",""))</f>
        <v>H</v>
      </c>
      <c r="G14" s="1">
        <f>'9.8.0.15'!$E10</f>
        <v>9.0794200000000007</v>
      </c>
      <c r="H14" s="1">
        <f>'9.8.0.15'!$G10</f>
        <v>26.463439000000001</v>
      </c>
      <c r="I14" s="3">
        <f t="shared" si="5"/>
        <v>35.542859</v>
      </c>
      <c r="J14" s="3" t="str">
        <f t="shared" si="6"/>
        <v>L</v>
      </c>
      <c r="K14" s="1">
        <f>'9.9.1.8'!$E10</f>
        <v>8.2838790000000007</v>
      </c>
      <c r="L14" s="1">
        <f>'9.9.1.8'!$G10</f>
        <v>30.401758000000001</v>
      </c>
      <c r="M14" s="3">
        <f t="shared" si="7"/>
        <v>38.685637</v>
      </c>
      <c r="N14" s="3" t="str">
        <f t="shared" si="8"/>
        <v/>
      </c>
      <c r="O14" s="1">
        <f>'11.4'!$E10</f>
        <v>9.3891089999999995</v>
      </c>
      <c r="P14" s="1">
        <f>'11.4'!$G10</f>
        <v>30.402812000000001</v>
      </c>
      <c r="Q14" s="3">
        <f t="shared" si="9"/>
        <v>39.791921000000002</v>
      </c>
      <c r="R14" s="3" t="str">
        <f t="shared" si="10"/>
        <v/>
      </c>
      <c r="T14" s="1">
        <f>MIN($E14,$I14,$M14,$Q14)</f>
        <v>35.542859</v>
      </c>
      <c r="U14" s="1">
        <f>MAX($E14,$I14,$M14,$Q14)</f>
        <v>40.275201000000003</v>
      </c>
      <c r="V14" s="1">
        <f>AVERAGE($E14,$I14,$M14,$Q14)</f>
        <v>38.573904499999998</v>
      </c>
    </row>
    <row r="15" spans="1:22" x14ac:dyDescent="0.2">
      <c r="A15" t="str">
        <f>'9.7.0.18'!$H11</f>
        <v>av-mp-va-tst-2-2-toelichting-v20.xml</v>
      </c>
      <c r="B15" s="5">
        <f>'9.7.0.18'!$C11</f>
        <v>10624</v>
      </c>
      <c r="C15" s="1">
        <f>'9.7.0.18'!$E11</f>
        <v>8.0351440000000007</v>
      </c>
      <c r="D15" s="1">
        <f>'9.7.0.18'!$G11</f>
        <v>27.180893000000001</v>
      </c>
      <c r="E15" s="3">
        <f t="shared" si="4"/>
        <v>35.216037</v>
      </c>
      <c r="F15" s="3" t="str">
        <f>IF(E15=$T15,"L",IF(E15=$U15,"H",""))</f>
        <v>L</v>
      </c>
      <c r="G15" s="1">
        <f>'9.8.0.15'!$E11</f>
        <v>8.0901669999999992</v>
      </c>
      <c r="H15" s="1">
        <f>'9.8.0.15'!$G11</f>
        <v>27.432694999999999</v>
      </c>
      <c r="I15" s="3">
        <f t="shared" si="5"/>
        <v>35.522861999999996</v>
      </c>
      <c r="J15" s="3" t="str">
        <f t="shared" si="6"/>
        <v/>
      </c>
      <c r="K15" s="1">
        <f>'9.9.1.8'!$E11</f>
        <v>8.1712030000000002</v>
      </c>
      <c r="L15" s="1">
        <f>'9.9.1.8'!$G11</f>
        <v>27.627745000000001</v>
      </c>
      <c r="M15" s="3">
        <f t="shared" si="7"/>
        <v>35.798948000000003</v>
      </c>
      <c r="N15" s="3" t="str">
        <f t="shared" si="8"/>
        <v>H</v>
      </c>
      <c r="O15" s="1">
        <f>'11.4'!$E11</f>
        <v>8.1134550000000001</v>
      </c>
      <c r="P15" s="1">
        <f>'11.4'!$G11</f>
        <v>27.683558999999999</v>
      </c>
      <c r="Q15" s="3">
        <f t="shared" si="9"/>
        <v>35.797013999999997</v>
      </c>
      <c r="R15" s="3" t="str">
        <f t="shared" si="10"/>
        <v/>
      </c>
      <c r="T15" s="1">
        <f>MIN($E15,$I15,$M15,$Q15)</f>
        <v>35.216037</v>
      </c>
      <c r="U15" s="1">
        <f>MAX($E15,$I15,$M15,$Q15)</f>
        <v>35.798948000000003</v>
      </c>
      <c r="V15" s="1">
        <f>AVERAGE($E15,$I15,$M15,$Q15)</f>
        <v>35.583715249999997</v>
      </c>
    </row>
    <row r="16" spans="1:22" x14ac:dyDescent="0.2">
      <c r="A16" t="str">
        <f>'9.7.0.18'!$H12</f>
        <v>av-mp-va-tst-2-3-redenvanvoorschrijven-v20.xml</v>
      </c>
      <c r="B16" s="5">
        <f>'9.7.0.18'!$C12</f>
        <v>9701</v>
      </c>
      <c r="C16" s="1">
        <f>'9.7.0.18'!$E12</f>
        <v>9.5069700000000008</v>
      </c>
      <c r="D16" s="1">
        <f>'9.7.0.18'!$G12</f>
        <v>27.793695</v>
      </c>
      <c r="E16" s="3">
        <f t="shared" si="4"/>
        <v>37.300665000000002</v>
      </c>
      <c r="F16" s="3" t="str">
        <f>IF(E16=$T16,"L",IF(E16=$U16,"H",""))</f>
        <v/>
      </c>
      <c r="G16" s="1">
        <f>'9.8.0.15'!$E12</f>
        <v>7.2363549999999996</v>
      </c>
      <c r="H16" s="1">
        <f>'9.8.0.15'!$G12</f>
        <v>27.562467000000002</v>
      </c>
      <c r="I16" s="3">
        <f t="shared" si="5"/>
        <v>34.798822000000001</v>
      </c>
      <c r="J16" s="3" t="str">
        <f t="shared" si="6"/>
        <v>L</v>
      </c>
      <c r="K16" s="1">
        <f>'9.9.1.8'!$E12</f>
        <v>9.3430909999999994</v>
      </c>
      <c r="L16" s="1">
        <f>'9.9.1.8'!$G12</f>
        <v>29.950137999999999</v>
      </c>
      <c r="M16" s="3">
        <f t="shared" si="7"/>
        <v>39.293228999999997</v>
      </c>
      <c r="N16" s="3" t="str">
        <f t="shared" si="8"/>
        <v>H</v>
      </c>
      <c r="O16" s="1">
        <f>'11.4'!$E12</f>
        <v>8.0420970000000001</v>
      </c>
      <c r="P16" s="1">
        <f>'11.4'!$G12</f>
        <v>28.868600000000001</v>
      </c>
      <c r="Q16" s="3">
        <f t="shared" si="9"/>
        <v>36.910696999999999</v>
      </c>
      <c r="R16" s="3" t="str">
        <f t="shared" si="10"/>
        <v/>
      </c>
      <c r="T16" s="1">
        <f>MIN($E16,$I16,$M16,$Q16)</f>
        <v>34.798822000000001</v>
      </c>
      <c r="U16" s="1">
        <f>MAX($E16,$I16,$M16,$Q16)</f>
        <v>39.293228999999997</v>
      </c>
      <c r="V16" s="1">
        <f>AVERAGE($E16,$I16,$M16,$Q16)</f>
        <v>37.075853250000002</v>
      </c>
    </row>
    <row r="17" spans="1:22" x14ac:dyDescent="0.2">
      <c r="A17" t="str">
        <f>'9.7.0.18'!$H13</f>
        <v>av-mp-va-tst-2-4-aanvullendeinformatie-v20.xml</v>
      </c>
      <c r="B17" s="5">
        <f>'9.7.0.18'!$C13</f>
        <v>10206</v>
      </c>
      <c r="C17" s="1">
        <f>'9.7.0.18'!$E13</f>
        <v>7.9669639999999999</v>
      </c>
      <c r="D17" s="1">
        <f>'9.7.0.18'!$G13</f>
        <v>28.705625000000001</v>
      </c>
      <c r="E17" s="3">
        <f t="shared" si="4"/>
        <v>36.672589000000002</v>
      </c>
      <c r="F17" s="3" t="str">
        <f>IF(E17=$T17,"L",IF(E17=$U17,"H",""))</f>
        <v>L</v>
      </c>
      <c r="G17" s="1">
        <f>'9.8.0.15'!$E13</f>
        <v>7.941173</v>
      </c>
      <c r="H17" s="1">
        <f>'9.8.0.15'!$G13</f>
        <v>28.802365999999999</v>
      </c>
      <c r="I17" s="3">
        <f t="shared" si="5"/>
        <v>36.743538999999998</v>
      </c>
      <c r="J17" s="3" t="str">
        <f t="shared" si="6"/>
        <v/>
      </c>
      <c r="K17" s="1">
        <f>'9.9.1.8'!$E13</f>
        <v>7.9640089999999999</v>
      </c>
      <c r="L17" s="1">
        <f>'9.9.1.8'!$G13</f>
        <v>31.657962000000001</v>
      </c>
      <c r="M17" s="3">
        <f t="shared" si="7"/>
        <v>39.621971000000002</v>
      </c>
      <c r="N17" s="3" t="str">
        <f t="shared" si="8"/>
        <v>H</v>
      </c>
      <c r="O17" s="1">
        <f>'11.4'!$E13</f>
        <v>7.6993710000000002</v>
      </c>
      <c r="P17" s="1">
        <f>'11.4'!$G13</f>
        <v>29.632045999999999</v>
      </c>
      <c r="Q17" s="3">
        <f t="shared" si="9"/>
        <v>37.331417000000002</v>
      </c>
      <c r="R17" s="3" t="str">
        <f t="shared" si="10"/>
        <v/>
      </c>
      <c r="T17" s="1">
        <f>MIN($E17,$I17,$M17,$Q17)</f>
        <v>36.672589000000002</v>
      </c>
      <c r="U17" s="1">
        <f>MAX($E17,$I17,$M17,$Q17)</f>
        <v>39.621971000000002</v>
      </c>
      <c r="V17" s="1">
        <f>AVERAGE($E17,$I17,$M17,$Q17)</f>
        <v>37.592379000000001</v>
      </c>
    </row>
    <row r="18" spans="1:22" x14ac:dyDescent="0.2">
      <c r="A18" t="str">
        <f>'9.7.0.18'!$H14</f>
        <v>av-mp-va-tst-2-5-toedieningsweg-v20.xml</v>
      </c>
      <c r="B18" s="5">
        <f>'9.7.0.18'!$C14</f>
        <v>10581</v>
      </c>
      <c r="C18" s="1">
        <f>'9.7.0.18'!$E14</f>
        <v>7.9473700000000003</v>
      </c>
      <c r="D18" s="1">
        <f>'9.7.0.18'!$G14</f>
        <v>27.24493</v>
      </c>
      <c r="E18" s="3">
        <f t="shared" si="4"/>
        <v>35.192300000000003</v>
      </c>
      <c r="F18" s="3" t="str">
        <f>IF(E18=$T18,"L",IF(E18=$U18,"H",""))</f>
        <v/>
      </c>
      <c r="G18" s="1">
        <f>'9.8.0.15'!$E14</f>
        <v>7.9559879999999996</v>
      </c>
      <c r="H18" s="1">
        <f>'9.8.0.15'!$G14</f>
        <v>26.884471999999999</v>
      </c>
      <c r="I18" s="3">
        <f t="shared" si="5"/>
        <v>34.84046</v>
      </c>
      <c r="J18" s="3" t="str">
        <f t="shared" si="6"/>
        <v>L</v>
      </c>
      <c r="K18" s="1">
        <f>'9.9.1.8'!$E14</f>
        <v>8.8113469999999996</v>
      </c>
      <c r="L18" s="1">
        <f>'9.9.1.8'!$G14</f>
        <v>28.002748</v>
      </c>
      <c r="M18" s="3">
        <f t="shared" si="7"/>
        <v>36.814095000000002</v>
      </c>
      <c r="N18" s="3" t="str">
        <f t="shared" si="8"/>
        <v/>
      </c>
      <c r="O18" s="1">
        <f>'11.4'!$E14</f>
        <v>7.4944600000000001</v>
      </c>
      <c r="P18" s="1">
        <f>'11.4'!$G14</f>
        <v>36.543968999999997</v>
      </c>
      <c r="Q18" s="3">
        <f t="shared" si="9"/>
        <v>44.038428999999994</v>
      </c>
      <c r="R18" s="3" t="str">
        <f t="shared" si="10"/>
        <v>H</v>
      </c>
      <c r="T18" s="1">
        <f>MIN($E18,$I18,$M18,$Q18)</f>
        <v>34.84046</v>
      </c>
      <c r="U18" s="1">
        <f>MAX($E18,$I18,$M18,$Q18)</f>
        <v>44.038428999999994</v>
      </c>
      <c r="V18" s="1">
        <f>AVERAGE($E18,$I18,$M18,$Q18)</f>
        <v>37.721321000000003</v>
      </c>
    </row>
    <row r="19" spans="1:22" x14ac:dyDescent="0.2">
      <c r="A19" t="str">
        <f>'9.7.0.18'!$H15</f>
        <v>av-mp-va-tst-3-1a-stoppen-v20.xml</v>
      </c>
      <c r="B19" s="5">
        <f>'9.7.0.18'!$C15</f>
        <v>9715</v>
      </c>
      <c r="C19" s="1">
        <f>'9.7.0.18'!$E15</f>
        <v>7.8491660000000003</v>
      </c>
      <c r="D19" s="1">
        <f>'9.7.0.18'!$G15</f>
        <v>31.927852999999999</v>
      </c>
      <c r="E19" s="3">
        <f t="shared" si="4"/>
        <v>39.777018999999996</v>
      </c>
      <c r="F19" s="3" t="str">
        <f>IF(E19=$T19,"L",IF(E19=$U19,"H",""))</f>
        <v>H</v>
      </c>
      <c r="G19" s="1">
        <f>'9.8.0.15'!$E15</f>
        <v>7.4701510000000004</v>
      </c>
      <c r="H19" s="1">
        <f>'9.8.0.15'!$G15</f>
        <v>26.411528000000001</v>
      </c>
      <c r="I19" s="3">
        <f t="shared" si="5"/>
        <v>33.881678999999998</v>
      </c>
      <c r="J19" s="3" t="str">
        <f t="shared" si="6"/>
        <v/>
      </c>
      <c r="K19" s="1">
        <f>'9.9.1.8'!$E15</f>
        <v>6.6352880000000001</v>
      </c>
      <c r="L19" s="1">
        <f>'9.9.1.8'!$G15</f>
        <v>26.722093999999998</v>
      </c>
      <c r="M19" s="3">
        <f t="shared" si="7"/>
        <v>33.357382000000001</v>
      </c>
      <c r="N19" s="3" t="str">
        <f t="shared" si="8"/>
        <v>L</v>
      </c>
      <c r="O19" s="1">
        <f>'11.4'!$E15</f>
        <v>7.1292059999999999</v>
      </c>
      <c r="P19" s="1">
        <f>'11.4'!$G15</f>
        <v>30.569958</v>
      </c>
      <c r="Q19" s="3">
        <f t="shared" si="9"/>
        <v>37.699163999999996</v>
      </c>
      <c r="R19" s="3" t="str">
        <f t="shared" si="10"/>
        <v/>
      </c>
      <c r="T19" s="1">
        <f>MIN($E19,$I19,$M19,$Q19)</f>
        <v>33.357382000000001</v>
      </c>
      <c r="U19" s="1">
        <f>MAX($E19,$I19,$M19,$Q19)</f>
        <v>39.777018999999996</v>
      </c>
      <c r="V19" s="1">
        <f>AVERAGE($E19,$I19,$M19,$Q19)</f>
        <v>36.178810999999996</v>
      </c>
    </row>
    <row r="20" spans="1:22" x14ac:dyDescent="0.2">
      <c r="A20" t="str">
        <f>'9.7.0.18'!$H16</f>
        <v>av-mp-va-tst-3-1b-stoppen-v20.xml</v>
      </c>
      <c r="B20" s="5">
        <f>'9.7.0.18'!$C16</f>
        <v>6955</v>
      </c>
      <c r="C20" s="1">
        <f>'9.7.0.18'!$E16</f>
        <v>6.2250110000000003</v>
      </c>
      <c r="D20" s="1">
        <f>'9.7.0.18'!$G16</f>
        <v>22.243548000000001</v>
      </c>
      <c r="E20" s="3">
        <f t="shared" si="4"/>
        <v>28.468558999999999</v>
      </c>
      <c r="F20" s="3" t="str">
        <f>IF(E20=$T20,"L",IF(E20=$U20,"H",""))</f>
        <v>L</v>
      </c>
      <c r="G20" s="1">
        <f>'9.8.0.15'!$E16</f>
        <v>7.2381200000000003</v>
      </c>
      <c r="H20" s="1">
        <f>'9.8.0.15'!$G16</f>
        <v>22.072942999999999</v>
      </c>
      <c r="I20" s="3">
        <f t="shared" si="5"/>
        <v>29.311062999999997</v>
      </c>
      <c r="J20" s="3" t="str">
        <f t="shared" si="6"/>
        <v/>
      </c>
      <c r="K20" s="1">
        <f>'9.9.1.8'!$E16</f>
        <v>6.8809680000000002</v>
      </c>
      <c r="L20" s="1">
        <f>'9.9.1.8'!$G16</f>
        <v>26.135361</v>
      </c>
      <c r="M20" s="3">
        <f t="shared" si="7"/>
        <v>33.016328999999999</v>
      </c>
      <c r="N20" s="3" t="str">
        <f t="shared" si="8"/>
        <v>H</v>
      </c>
      <c r="O20" s="1">
        <f>'11.4'!$E16</f>
        <v>7.5993510000000004</v>
      </c>
      <c r="P20" s="1">
        <f>'11.4'!$G16</f>
        <v>24.808685000000001</v>
      </c>
      <c r="Q20" s="3">
        <f t="shared" si="9"/>
        <v>32.408036000000003</v>
      </c>
      <c r="R20" s="3" t="str">
        <f t="shared" si="10"/>
        <v/>
      </c>
      <c r="T20" s="1">
        <f>MIN($E20,$I20,$M20,$Q20)</f>
        <v>28.468558999999999</v>
      </c>
      <c r="U20" s="1">
        <f>MAX($E20,$I20,$M20,$Q20)</f>
        <v>33.016328999999999</v>
      </c>
      <c r="V20" s="1">
        <f>AVERAGE($E20,$I20,$M20,$Q20)</f>
        <v>30.800996750000003</v>
      </c>
    </row>
    <row r="21" spans="1:22" x14ac:dyDescent="0.2">
      <c r="A21" t="str">
        <f>'9.7.0.18'!$H17</f>
        <v>av-mp-va-tst-3-2a-wijzigen-verhoging-v20.xml</v>
      </c>
      <c r="B21" s="5">
        <f>'9.7.0.18'!$C17</f>
        <v>9709</v>
      </c>
      <c r="C21" s="1">
        <f>'9.7.0.18'!$E17</f>
        <v>6.9260000000000002</v>
      </c>
      <c r="D21" s="1">
        <f>'9.7.0.18'!$G17</f>
        <v>29.209091000000001</v>
      </c>
      <c r="E21" s="3">
        <f t="shared" si="4"/>
        <v>36.135091000000003</v>
      </c>
      <c r="F21" s="3" t="str">
        <f>IF(E21=$T21,"L",IF(E21=$U21,"H",""))</f>
        <v/>
      </c>
      <c r="G21" s="1">
        <f>'9.8.0.15'!$E17</f>
        <v>7.0082139999999997</v>
      </c>
      <c r="H21" s="1">
        <f>'9.8.0.15'!$G17</f>
        <v>27.125529</v>
      </c>
      <c r="I21" s="3">
        <f t="shared" si="5"/>
        <v>34.133743000000003</v>
      </c>
      <c r="J21" s="3" t="str">
        <f t="shared" si="6"/>
        <v>L</v>
      </c>
      <c r="K21" s="1">
        <f>'9.9.1.8'!$E17</f>
        <v>6.7708329999999997</v>
      </c>
      <c r="L21" s="1">
        <f>'9.9.1.8'!$G17</f>
        <v>28.115815000000001</v>
      </c>
      <c r="M21" s="3">
        <f t="shared" si="7"/>
        <v>34.886648000000001</v>
      </c>
      <c r="N21" s="3" t="str">
        <f t="shared" si="8"/>
        <v/>
      </c>
      <c r="O21" s="1">
        <f>'11.4'!$E17</f>
        <v>8.3277739999999998</v>
      </c>
      <c r="P21" s="1">
        <f>'11.4'!$G17</f>
        <v>28.471824000000002</v>
      </c>
      <c r="Q21" s="3">
        <f t="shared" si="9"/>
        <v>36.799598000000003</v>
      </c>
      <c r="R21" s="3" t="str">
        <f t="shared" si="10"/>
        <v>H</v>
      </c>
      <c r="T21" s="1">
        <f>MIN($E21,$I21,$M21,$Q21)</f>
        <v>34.133743000000003</v>
      </c>
      <c r="U21" s="1">
        <f>MAX($E21,$I21,$M21,$Q21)</f>
        <v>36.799598000000003</v>
      </c>
      <c r="V21" s="1">
        <f>AVERAGE($E21,$I21,$M21,$Q21)</f>
        <v>35.488770000000002</v>
      </c>
    </row>
    <row r="22" spans="1:22" x14ac:dyDescent="0.2">
      <c r="A22" t="str">
        <f>'9.7.0.18'!$H18</f>
        <v>av-mp-va-tst-3-2b-wijzigen-verhoging-v20.xml</v>
      </c>
      <c r="B22" s="5">
        <f>'9.7.0.18'!$C18</f>
        <v>15245</v>
      </c>
      <c r="C22" s="1">
        <f>'9.7.0.18'!$E18</f>
        <v>10.916421</v>
      </c>
      <c r="D22" s="1">
        <f>'9.7.0.18'!$G18</f>
        <v>37.241874000000003</v>
      </c>
      <c r="E22" s="3">
        <f t="shared" ref="E22:E51" si="11">C22+D22</f>
        <v>48.158295000000003</v>
      </c>
      <c r="F22" s="3" t="str">
        <f t="shared" ref="F22:F52" si="12">IF(E22=$T22,"L",IF(E22=$U22,"H",""))</f>
        <v>H</v>
      </c>
      <c r="G22" s="1">
        <f>'9.8.0.15'!$E18</f>
        <v>8.4350830000000006</v>
      </c>
      <c r="H22" s="1">
        <f>'9.8.0.15'!$G18</f>
        <v>37.686687999999997</v>
      </c>
      <c r="I22" s="3">
        <f t="shared" ref="I22:I51" si="13">G22+H22</f>
        <v>46.121770999999995</v>
      </c>
      <c r="J22" s="3" t="str">
        <f t="shared" si="6"/>
        <v/>
      </c>
      <c r="K22" s="1">
        <f>'9.9.1.8'!$E18</f>
        <v>8.6612480000000005</v>
      </c>
      <c r="L22" s="1">
        <f>'9.9.1.8'!$G18</f>
        <v>31.206171000000001</v>
      </c>
      <c r="M22" s="3">
        <f t="shared" ref="M22:M51" si="14">K22+L22</f>
        <v>39.867418999999998</v>
      </c>
      <c r="N22" s="3" t="str">
        <f t="shared" si="8"/>
        <v>L</v>
      </c>
      <c r="O22" s="1">
        <f>'11.4'!$E18</f>
        <v>8.0340109999999996</v>
      </c>
      <c r="P22" s="1">
        <f>'11.4'!$G18</f>
        <v>33.882677000000001</v>
      </c>
      <c r="Q22" s="3">
        <f t="shared" ref="Q22:Q51" si="15">O22+P22</f>
        <v>41.916688000000001</v>
      </c>
      <c r="R22" s="3" t="str">
        <f t="shared" si="10"/>
        <v/>
      </c>
      <c r="T22" s="1">
        <f t="shared" ref="T22:T52" si="16">MIN($E22,$I22,$M22,$Q22)</f>
        <v>39.867418999999998</v>
      </c>
      <c r="U22" s="1">
        <f t="shared" ref="U22:U52" si="17">MAX($E22,$I22,$M22,$Q22)</f>
        <v>48.158295000000003</v>
      </c>
      <c r="V22" s="1">
        <f t="shared" ref="V22:V52" si="18">AVERAGE($E22,$I22,$M22,$Q22)</f>
        <v>44.016043250000003</v>
      </c>
    </row>
    <row r="23" spans="1:22" x14ac:dyDescent="0.2">
      <c r="A23" t="str">
        <f>'9.7.0.18'!$H19</f>
        <v>av-mp-va-tst-3-3a-wijzigen-verlaging-v20.xml</v>
      </c>
      <c r="B23" s="5">
        <f>'9.7.0.18'!$C19</f>
        <v>9494</v>
      </c>
      <c r="C23" s="1">
        <f>'9.7.0.18'!$E19</f>
        <v>7.7898170000000002</v>
      </c>
      <c r="D23" s="1">
        <f>'9.7.0.18'!$G19</f>
        <v>27.274975000000001</v>
      </c>
      <c r="E23" s="3">
        <f t="shared" si="11"/>
        <v>35.064792000000004</v>
      </c>
      <c r="F23" s="3" t="str">
        <f t="shared" si="12"/>
        <v>L</v>
      </c>
      <c r="G23" s="1">
        <f>'9.8.0.15'!$E19</f>
        <v>7.7955730000000001</v>
      </c>
      <c r="H23" s="1">
        <f>'9.8.0.15'!$G19</f>
        <v>30.368143</v>
      </c>
      <c r="I23" s="3">
        <f t="shared" si="13"/>
        <v>38.163716000000001</v>
      </c>
      <c r="J23" s="3" t="str">
        <f t="shared" si="6"/>
        <v/>
      </c>
      <c r="K23" s="1">
        <f>'9.9.1.8'!$E19</f>
        <v>7.5020040000000003</v>
      </c>
      <c r="L23" s="1">
        <f>'9.9.1.8'!$G19</f>
        <v>28.465653</v>
      </c>
      <c r="M23" s="3">
        <f t="shared" si="14"/>
        <v>35.967657000000003</v>
      </c>
      <c r="N23" s="3" t="str">
        <f t="shared" si="8"/>
        <v/>
      </c>
      <c r="O23" s="1">
        <f>'11.4'!$E19</f>
        <v>7.2680870000000004</v>
      </c>
      <c r="P23" s="1">
        <f>'11.4'!$G19</f>
        <v>31.044297</v>
      </c>
      <c r="Q23" s="3">
        <f t="shared" si="15"/>
        <v>38.312384000000002</v>
      </c>
      <c r="R23" s="3" t="str">
        <f t="shared" si="10"/>
        <v>H</v>
      </c>
      <c r="T23" s="1">
        <f t="shared" si="16"/>
        <v>35.064792000000004</v>
      </c>
      <c r="U23" s="1">
        <f t="shared" si="17"/>
        <v>38.312384000000002</v>
      </c>
      <c r="V23" s="1">
        <f t="shared" si="18"/>
        <v>36.877137250000004</v>
      </c>
    </row>
    <row r="24" spans="1:22" x14ac:dyDescent="0.2">
      <c r="A24" t="str">
        <f>'9.7.0.18'!$H20</f>
        <v>av-mp-va-tst-3-3b-wijzigen-verlaging-v20.xml</v>
      </c>
      <c r="B24" s="5">
        <f>'9.7.0.18'!$C20</f>
        <v>11867</v>
      </c>
      <c r="C24" s="1">
        <f>'9.7.0.18'!$E20</f>
        <v>8.0439779999999992</v>
      </c>
      <c r="D24" s="1">
        <f>'9.7.0.18'!$G20</f>
        <v>30.936979999999998</v>
      </c>
      <c r="E24" s="3">
        <f t="shared" si="11"/>
        <v>38.980958000000001</v>
      </c>
      <c r="F24" s="3" t="str">
        <f t="shared" si="12"/>
        <v/>
      </c>
      <c r="G24" s="1">
        <f>'9.8.0.15'!$E20</f>
        <v>8.1388590000000001</v>
      </c>
      <c r="H24" s="1">
        <f>'9.8.0.15'!$G20</f>
        <v>32.633522999999997</v>
      </c>
      <c r="I24" s="3">
        <f t="shared" si="13"/>
        <v>40.772381999999993</v>
      </c>
      <c r="J24" s="3" t="str">
        <f t="shared" si="6"/>
        <v>H</v>
      </c>
      <c r="K24" s="1">
        <f>'9.9.1.8'!$E20</f>
        <v>7.6551349999999996</v>
      </c>
      <c r="L24" s="1">
        <f>'9.9.1.8'!$G20</f>
        <v>31.381865000000001</v>
      </c>
      <c r="M24" s="3">
        <f t="shared" si="14"/>
        <v>39.036999999999999</v>
      </c>
      <c r="N24" s="3" t="str">
        <f t="shared" si="8"/>
        <v/>
      </c>
      <c r="O24" s="1">
        <f>'11.4'!$E20</f>
        <v>7.6677</v>
      </c>
      <c r="P24" s="1">
        <f>'11.4'!$G20</f>
        <v>31.151057000000002</v>
      </c>
      <c r="Q24" s="3">
        <f t="shared" si="15"/>
        <v>38.818757000000005</v>
      </c>
      <c r="R24" s="3" t="str">
        <f t="shared" si="10"/>
        <v>L</v>
      </c>
      <c r="T24" s="1">
        <f t="shared" si="16"/>
        <v>38.818757000000005</v>
      </c>
      <c r="U24" s="1">
        <f t="shared" si="17"/>
        <v>40.772381999999993</v>
      </c>
      <c r="V24" s="1">
        <f t="shared" si="18"/>
        <v>39.402274249999998</v>
      </c>
    </row>
    <row r="25" spans="1:22" x14ac:dyDescent="0.2">
      <c r="A25" t="str">
        <f>'9.7.0.18'!$H21</f>
        <v>av-mp-va-tst-3-4a-onderbreken-v20.xml</v>
      </c>
      <c r="B25" s="5">
        <f>'9.7.0.18'!$C21</f>
        <v>9687</v>
      </c>
      <c r="C25" s="1">
        <f>'9.7.0.18'!$E21</f>
        <v>6.8519319999999997</v>
      </c>
      <c r="D25" s="1">
        <f>'9.7.0.18'!$G21</f>
        <v>22.20579</v>
      </c>
      <c r="E25" s="3">
        <f t="shared" si="11"/>
        <v>29.057721999999998</v>
      </c>
      <c r="F25" s="3" t="str">
        <f t="shared" si="12"/>
        <v>L</v>
      </c>
      <c r="G25" s="1">
        <f>'9.8.0.15'!$E21</f>
        <v>7.3344139999999998</v>
      </c>
      <c r="H25" s="1">
        <f>'9.8.0.15'!$G21</f>
        <v>32.212508</v>
      </c>
      <c r="I25" s="3">
        <f t="shared" si="13"/>
        <v>39.546922000000002</v>
      </c>
      <c r="J25" s="3" t="str">
        <f t="shared" si="6"/>
        <v>H</v>
      </c>
      <c r="K25" s="1">
        <f>'9.9.1.8'!$E21</f>
        <v>7.0381729999999996</v>
      </c>
      <c r="L25" s="1">
        <f>'9.9.1.8'!$G21</f>
        <v>28.525404000000002</v>
      </c>
      <c r="M25" s="3">
        <f t="shared" si="14"/>
        <v>35.563577000000002</v>
      </c>
      <c r="N25" s="3" t="str">
        <f t="shared" si="8"/>
        <v/>
      </c>
      <c r="O25" s="1">
        <f>'11.4'!$E21</f>
        <v>9.2962900000000008</v>
      </c>
      <c r="P25" s="1">
        <f>'11.4'!$G21</f>
        <v>29.122398</v>
      </c>
      <c r="Q25" s="3">
        <f t="shared" si="15"/>
        <v>38.418688000000003</v>
      </c>
      <c r="R25" s="3" t="str">
        <f t="shared" si="10"/>
        <v/>
      </c>
      <c r="T25" s="1">
        <f t="shared" si="16"/>
        <v>29.057721999999998</v>
      </c>
      <c r="U25" s="1">
        <f t="shared" si="17"/>
        <v>39.546922000000002</v>
      </c>
      <c r="V25" s="1">
        <f t="shared" si="18"/>
        <v>35.646727250000005</v>
      </c>
    </row>
    <row r="26" spans="1:22" x14ac:dyDescent="0.2">
      <c r="A26" t="str">
        <f>'9.7.0.18'!$H22</f>
        <v>av-mp-va-tst-3-4b-onderbreken-v20.xml</v>
      </c>
      <c r="B26" s="5">
        <f>'9.7.0.18'!$C22</f>
        <v>6970</v>
      </c>
      <c r="C26" s="1">
        <f>'9.7.0.18'!$E22</f>
        <v>6.7685040000000001</v>
      </c>
      <c r="D26" s="1">
        <f>'9.7.0.18'!$G22</f>
        <v>22.393685999999999</v>
      </c>
      <c r="E26" s="3">
        <f t="shared" si="11"/>
        <v>29.162189999999999</v>
      </c>
      <c r="F26" s="3" t="str">
        <f t="shared" si="12"/>
        <v>L</v>
      </c>
      <c r="G26" s="1">
        <f>'9.8.0.15'!$E22</f>
        <v>7.1309709999999997</v>
      </c>
      <c r="H26" s="1">
        <f>'9.8.0.15'!$G22</f>
        <v>22.928733999999999</v>
      </c>
      <c r="I26" s="3">
        <f t="shared" si="13"/>
        <v>30.059704999999997</v>
      </c>
      <c r="J26" s="3" t="str">
        <f t="shared" si="6"/>
        <v/>
      </c>
      <c r="K26" s="1">
        <f>'9.9.1.8'!$E22</f>
        <v>6.5236039999999997</v>
      </c>
      <c r="L26" s="1">
        <f>'9.9.1.8'!$G22</f>
        <v>22.976908999999999</v>
      </c>
      <c r="M26" s="3">
        <f t="shared" si="14"/>
        <v>29.500512999999998</v>
      </c>
      <c r="N26" s="3" t="str">
        <f t="shared" si="8"/>
        <v/>
      </c>
      <c r="O26" s="1">
        <f>'11.4'!$E22</f>
        <v>6.6779310000000001</v>
      </c>
      <c r="P26" s="1">
        <f>'11.4'!$G22</f>
        <v>27.352848000000002</v>
      </c>
      <c r="Q26" s="3">
        <f t="shared" si="15"/>
        <v>34.030779000000003</v>
      </c>
      <c r="R26" s="3" t="str">
        <f t="shared" si="10"/>
        <v>H</v>
      </c>
      <c r="T26" s="1">
        <f t="shared" si="16"/>
        <v>29.162189999999999</v>
      </c>
      <c r="U26" s="1">
        <f t="shared" si="17"/>
        <v>34.030779000000003</v>
      </c>
      <c r="V26" s="1">
        <f t="shared" si="18"/>
        <v>30.688296749999999</v>
      </c>
    </row>
    <row r="27" spans="1:22" x14ac:dyDescent="0.2">
      <c r="A27" t="str">
        <f>'9.7.0.18'!$H23</f>
        <v>av-mp-va-tst-3-5a-wijzigenTA-v20.xml</v>
      </c>
      <c r="B27" s="5">
        <f>'9.7.0.18'!$C23</f>
        <v>9692</v>
      </c>
      <c r="C27" s="1">
        <f>'9.7.0.18'!$E23</f>
        <v>7.1799569999999999</v>
      </c>
      <c r="D27" s="1">
        <f>'9.7.0.18'!$G23</f>
        <v>22.366978</v>
      </c>
      <c r="E27" s="3">
        <f t="shared" si="11"/>
        <v>29.546934999999998</v>
      </c>
      <c r="F27" s="3" t="str">
        <f t="shared" si="12"/>
        <v>L</v>
      </c>
      <c r="G27" s="1">
        <f>'9.8.0.15'!$E23</f>
        <v>6.6719239999999997</v>
      </c>
      <c r="H27" s="1">
        <f>'9.8.0.15'!$G23</f>
        <v>23.515801</v>
      </c>
      <c r="I27" s="3">
        <f t="shared" si="13"/>
        <v>30.187725</v>
      </c>
      <c r="J27" s="3" t="str">
        <f t="shared" si="6"/>
        <v/>
      </c>
      <c r="K27" s="1">
        <f>'9.9.1.8'!$E23</f>
        <v>7.5200250000000004</v>
      </c>
      <c r="L27" s="1">
        <f>'9.9.1.8'!$G23</f>
        <v>24.660063999999998</v>
      </c>
      <c r="M27" s="3">
        <f t="shared" si="14"/>
        <v>32.180088999999995</v>
      </c>
      <c r="N27" s="3" t="str">
        <f t="shared" si="8"/>
        <v/>
      </c>
      <c r="O27" s="1">
        <f>'11.4'!$E23</f>
        <v>7.0939810000000003</v>
      </c>
      <c r="P27" s="1">
        <f>'11.4'!$G23</f>
        <v>27.568888000000001</v>
      </c>
      <c r="Q27" s="3">
        <f t="shared" si="15"/>
        <v>34.662869000000001</v>
      </c>
      <c r="R27" s="3" t="str">
        <f t="shared" si="10"/>
        <v>H</v>
      </c>
      <c r="T27" s="1">
        <f t="shared" si="16"/>
        <v>29.546934999999998</v>
      </c>
      <c r="U27" s="1">
        <f t="shared" si="17"/>
        <v>34.662869000000001</v>
      </c>
      <c r="V27" s="1">
        <f t="shared" si="18"/>
        <v>31.6444045</v>
      </c>
    </row>
    <row r="28" spans="1:22" x14ac:dyDescent="0.2">
      <c r="A28" t="str">
        <f>'9.7.0.18'!$H24</f>
        <v>av-mp-va-tst-3-5b-wijzigenTA-v20.xml</v>
      </c>
      <c r="B28" s="5">
        <f>'9.7.0.18'!$C24</f>
        <v>15594</v>
      </c>
      <c r="C28" s="1">
        <f>'9.7.0.18'!$E24</f>
        <v>8.3447259999999996</v>
      </c>
      <c r="D28" s="1">
        <f>'9.7.0.18'!$G24</f>
        <v>39.977592000000001</v>
      </c>
      <c r="E28" s="3">
        <f t="shared" si="11"/>
        <v>48.322318000000003</v>
      </c>
      <c r="F28" s="3" t="str">
        <f t="shared" si="12"/>
        <v>H</v>
      </c>
      <c r="G28" s="1">
        <f>'9.8.0.15'!$E24</f>
        <v>8.4214020000000005</v>
      </c>
      <c r="H28" s="1">
        <f>'9.8.0.15'!$G24</f>
        <v>38.271769999999997</v>
      </c>
      <c r="I28" s="3">
        <f t="shared" si="13"/>
        <v>46.693171999999997</v>
      </c>
      <c r="J28" s="3" t="str">
        <f t="shared" si="6"/>
        <v/>
      </c>
      <c r="K28" s="1">
        <f>'9.9.1.8'!$E24</f>
        <v>8.5202139999999993</v>
      </c>
      <c r="L28" s="1">
        <f>'9.9.1.8'!$G24</f>
        <v>33.266193000000001</v>
      </c>
      <c r="M28" s="3">
        <f t="shared" si="14"/>
        <v>41.786406999999997</v>
      </c>
      <c r="N28" s="3" t="str">
        <f t="shared" si="8"/>
        <v>L</v>
      </c>
      <c r="O28" s="1">
        <f>'11.4'!$E24</f>
        <v>7.552441</v>
      </c>
      <c r="P28" s="1">
        <f>'11.4'!$G24</f>
        <v>37.389966000000001</v>
      </c>
      <c r="Q28" s="3">
        <f t="shared" si="15"/>
        <v>44.942407000000003</v>
      </c>
      <c r="R28" s="3" t="str">
        <f t="shared" si="10"/>
        <v/>
      </c>
      <c r="T28" s="1">
        <f t="shared" si="16"/>
        <v>41.786406999999997</v>
      </c>
      <c r="U28" s="1">
        <f t="shared" si="17"/>
        <v>48.322318000000003</v>
      </c>
      <c r="V28" s="1">
        <f t="shared" si="18"/>
        <v>45.436076</v>
      </c>
    </row>
    <row r="29" spans="1:22" x14ac:dyDescent="0.2">
      <c r="A29" t="str">
        <f>'9.7.0.18'!$H25</f>
        <v>av-mp-va-tst-6-1-variabele-frequentie-v20.xml</v>
      </c>
      <c r="B29" s="5">
        <f>'9.7.0.18'!$C25</f>
        <v>9743</v>
      </c>
      <c r="C29" s="1">
        <f>'9.7.0.18'!$E25</f>
        <v>6.9338129999999998</v>
      </c>
      <c r="D29" s="1">
        <f>'9.7.0.18'!$G25</f>
        <v>28.704422000000001</v>
      </c>
      <c r="E29" s="3">
        <f t="shared" si="11"/>
        <v>35.638235000000002</v>
      </c>
      <c r="F29" s="3" t="str">
        <f t="shared" si="12"/>
        <v/>
      </c>
      <c r="G29" s="1">
        <f>'9.8.0.15'!$E25</f>
        <v>7.8506299999999998</v>
      </c>
      <c r="H29" s="1">
        <f>'9.8.0.15'!$G25</f>
        <v>29.470462999999999</v>
      </c>
      <c r="I29" s="3">
        <f t="shared" si="13"/>
        <v>37.321092999999998</v>
      </c>
      <c r="J29" s="3" t="str">
        <f t="shared" si="6"/>
        <v>H</v>
      </c>
      <c r="K29" s="1">
        <f>'9.9.1.8'!$E25</f>
        <v>7.5124389999999996</v>
      </c>
      <c r="L29" s="1">
        <f>'9.9.1.8'!$G25</f>
        <v>28.6722</v>
      </c>
      <c r="M29" s="3">
        <f t="shared" si="14"/>
        <v>36.184638999999997</v>
      </c>
      <c r="N29" s="3" t="str">
        <f t="shared" si="8"/>
        <v/>
      </c>
      <c r="O29" s="1">
        <f>'11.4'!$E25</f>
        <v>8.5955480000000009</v>
      </c>
      <c r="P29" s="1">
        <f>'11.4'!$G25</f>
        <v>26.737199</v>
      </c>
      <c r="Q29" s="3">
        <f t="shared" si="15"/>
        <v>35.332746999999998</v>
      </c>
      <c r="R29" s="3" t="str">
        <f t="shared" si="10"/>
        <v>L</v>
      </c>
      <c r="T29" s="1">
        <f t="shared" si="16"/>
        <v>35.332746999999998</v>
      </c>
      <c r="U29" s="1">
        <f t="shared" si="17"/>
        <v>37.321092999999998</v>
      </c>
      <c r="V29" s="1">
        <f t="shared" si="18"/>
        <v>36.119178500000004</v>
      </c>
    </row>
    <row r="30" spans="1:22" x14ac:dyDescent="0.2">
      <c r="A30" t="str">
        <f>'9.7.0.18'!$H26</f>
        <v>av-mp-va-tst-6-10-cyclisch-schema-v20.xml</v>
      </c>
      <c r="B30" s="5">
        <f>'9.7.0.18'!$C26</f>
        <v>10137</v>
      </c>
      <c r="C30" s="1">
        <f>'9.7.0.18'!$E26</f>
        <v>7.0598859999999997</v>
      </c>
      <c r="D30" s="1">
        <f>'9.7.0.18'!$G26</f>
        <v>31.750067000000001</v>
      </c>
      <c r="E30" s="3">
        <f t="shared" si="11"/>
        <v>38.809953</v>
      </c>
      <c r="F30" s="3" t="str">
        <f t="shared" si="12"/>
        <v/>
      </c>
      <c r="G30" s="1">
        <f>'9.8.0.15'!$E26</f>
        <v>7.1869699999999996</v>
      </c>
      <c r="H30" s="1">
        <f>'9.8.0.15'!$G26</f>
        <v>32.254249999999999</v>
      </c>
      <c r="I30" s="3">
        <f t="shared" si="13"/>
        <v>39.441220000000001</v>
      </c>
      <c r="J30" s="3" t="str">
        <f t="shared" si="6"/>
        <v/>
      </c>
      <c r="K30" s="1">
        <f>'9.9.1.8'!$E26</f>
        <v>7.0526730000000004</v>
      </c>
      <c r="L30" s="1">
        <f>'9.9.1.8'!$G26</f>
        <v>31.188310000000001</v>
      </c>
      <c r="M30" s="3">
        <f t="shared" si="14"/>
        <v>38.240983</v>
      </c>
      <c r="N30" s="3" t="str">
        <f t="shared" si="8"/>
        <v>L</v>
      </c>
      <c r="O30" s="1">
        <f>'11.4'!$E26</f>
        <v>6.7557029999999996</v>
      </c>
      <c r="P30" s="1">
        <f>'11.4'!$G26</f>
        <v>33.896211999999998</v>
      </c>
      <c r="Q30" s="3">
        <f t="shared" si="15"/>
        <v>40.651914999999995</v>
      </c>
      <c r="R30" s="3" t="str">
        <f t="shared" si="10"/>
        <v>H</v>
      </c>
      <c r="T30" s="1">
        <f t="shared" si="16"/>
        <v>38.240983</v>
      </c>
      <c r="U30" s="1">
        <f t="shared" si="17"/>
        <v>40.651914999999995</v>
      </c>
      <c r="V30" s="1">
        <f t="shared" si="18"/>
        <v>39.286017749999999</v>
      </c>
    </row>
    <row r="31" spans="1:22" x14ac:dyDescent="0.2">
      <c r="A31" t="str">
        <f>'9.7.0.18'!$H27</f>
        <v>av-mp-va-tst-6-11-afbouwschema-v20.xml</v>
      </c>
      <c r="B31" s="5">
        <f>'9.7.0.18'!$C27</f>
        <v>12737</v>
      </c>
      <c r="C31" s="1">
        <f>'9.7.0.18'!$E27</f>
        <v>7.737787</v>
      </c>
      <c r="D31" s="1">
        <f>'9.7.0.18'!$G27</f>
        <v>30.221167000000001</v>
      </c>
      <c r="E31" s="3">
        <f t="shared" si="11"/>
        <v>37.958953999999999</v>
      </c>
      <c r="F31" s="3" t="str">
        <f t="shared" si="12"/>
        <v>H</v>
      </c>
      <c r="G31" s="1">
        <f>'9.8.0.15'!$E27</f>
        <v>7.423934</v>
      </c>
      <c r="H31" s="1">
        <f>'9.8.0.15'!$G27</f>
        <v>29.481929000000001</v>
      </c>
      <c r="I31" s="3">
        <f t="shared" si="13"/>
        <v>36.905863000000004</v>
      </c>
      <c r="J31" s="3" t="str">
        <f t="shared" si="6"/>
        <v/>
      </c>
      <c r="K31" s="1">
        <f>'9.9.1.8'!$E27</f>
        <v>7.3932120000000001</v>
      </c>
      <c r="L31" s="1">
        <f>'9.9.1.8'!$G27</f>
        <v>27.672681999999998</v>
      </c>
      <c r="M31" s="3">
        <f t="shared" si="14"/>
        <v>35.065894</v>
      </c>
      <c r="N31" s="3" t="str">
        <f t="shared" si="8"/>
        <v>L</v>
      </c>
      <c r="O31" s="1">
        <f>'11.4'!$E27</f>
        <v>7.02386</v>
      </c>
      <c r="P31" s="1">
        <f>'11.4'!$G27</f>
        <v>30.805221</v>
      </c>
      <c r="Q31" s="3">
        <f t="shared" si="15"/>
        <v>37.829081000000002</v>
      </c>
      <c r="R31" s="3" t="str">
        <f t="shared" si="10"/>
        <v/>
      </c>
      <c r="T31" s="1">
        <f t="shared" si="16"/>
        <v>35.065894</v>
      </c>
      <c r="U31" s="1">
        <f t="shared" si="17"/>
        <v>37.958953999999999</v>
      </c>
      <c r="V31" s="1">
        <f t="shared" si="18"/>
        <v>36.939948000000001</v>
      </c>
    </row>
    <row r="32" spans="1:22" x14ac:dyDescent="0.2">
      <c r="A32" t="str">
        <f>'9.7.0.18'!$H28</f>
        <v>av-mp-va-tst-6-12-variabele-hoeveelheid-en-maximum-v20.xml</v>
      </c>
      <c r="B32" s="5">
        <f>'9.7.0.18'!$C28</f>
        <v>10691</v>
      </c>
      <c r="C32" s="1">
        <f>'9.7.0.18'!$E28</f>
        <v>7.3376549999999998</v>
      </c>
      <c r="D32" s="1">
        <f>'9.7.0.18'!$G28</f>
        <v>32.032491</v>
      </c>
      <c r="E32" s="3">
        <f t="shared" si="11"/>
        <v>39.370145999999998</v>
      </c>
      <c r="F32" s="3" t="str">
        <f t="shared" si="12"/>
        <v/>
      </c>
      <c r="G32" s="1">
        <f>'9.8.0.15'!$E28</f>
        <v>9.9481660000000005</v>
      </c>
      <c r="H32" s="1">
        <f>'9.8.0.15'!$G28</f>
        <v>29.684484000000001</v>
      </c>
      <c r="I32" s="3">
        <f t="shared" si="13"/>
        <v>39.632649999999998</v>
      </c>
      <c r="J32" s="3" t="str">
        <f t="shared" si="6"/>
        <v/>
      </c>
      <c r="K32" s="1">
        <f>'9.9.1.8'!$E28</f>
        <v>6.5557270000000001</v>
      </c>
      <c r="L32" s="1">
        <f>'9.9.1.8'!$G28</f>
        <v>27.306494000000001</v>
      </c>
      <c r="M32" s="3">
        <f t="shared" si="14"/>
        <v>33.862220999999998</v>
      </c>
      <c r="N32" s="3" t="str">
        <f t="shared" si="8"/>
        <v>L</v>
      </c>
      <c r="O32" s="1">
        <f>'11.4'!$E28</f>
        <v>7.3640129999999999</v>
      </c>
      <c r="P32" s="1">
        <f>'11.4'!$G28</f>
        <v>34.125129999999999</v>
      </c>
      <c r="Q32" s="3">
        <f t="shared" si="15"/>
        <v>41.489142999999999</v>
      </c>
      <c r="R32" s="3" t="str">
        <f t="shared" si="10"/>
        <v>H</v>
      </c>
      <c r="T32" s="1">
        <f t="shared" si="16"/>
        <v>33.862220999999998</v>
      </c>
      <c r="U32" s="1">
        <f t="shared" si="17"/>
        <v>41.489142999999999</v>
      </c>
      <c r="V32" s="1">
        <f t="shared" si="18"/>
        <v>38.588539999999995</v>
      </c>
    </row>
    <row r="33" spans="1:22" x14ac:dyDescent="0.2">
      <c r="A33" t="str">
        <f>'9.7.0.18'!$H29</f>
        <v>av-mp-va-tst-6-13-toedieningssnelheid-v20.xml</v>
      </c>
      <c r="B33" s="5">
        <f>'9.7.0.18'!$C29</f>
        <v>9226</v>
      </c>
      <c r="C33" s="1">
        <f>'9.7.0.18'!$E29</f>
        <v>8.5367149999999992</v>
      </c>
      <c r="D33" s="1">
        <f>'9.7.0.18'!$G29</f>
        <v>30.492584000000001</v>
      </c>
      <c r="E33" s="3">
        <f t="shared" si="11"/>
        <v>39.029299000000002</v>
      </c>
      <c r="F33" s="3" t="str">
        <f t="shared" si="12"/>
        <v/>
      </c>
      <c r="G33" s="1">
        <f>'9.8.0.15'!$E29</f>
        <v>8.0761649999999996</v>
      </c>
      <c r="H33" s="1">
        <f>'9.8.0.15'!$G29</f>
        <v>31.188894000000001</v>
      </c>
      <c r="I33" s="3">
        <f t="shared" si="13"/>
        <v>39.265059000000001</v>
      </c>
      <c r="J33" s="3" t="str">
        <f t="shared" si="6"/>
        <v>H</v>
      </c>
      <c r="K33" s="1">
        <f>'9.9.1.8'!$E29</f>
        <v>7.4837899999999999</v>
      </c>
      <c r="L33" s="1">
        <f>'9.9.1.8'!$G29</f>
        <v>27.630129</v>
      </c>
      <c r="M33" s="3">
        <f t="shared" si="14"/>
        <v>35.113919000000003</v>
      </c>
      <c r="N33" s="3" t="str">
        <f t="shared" si="8"/>
        <v>L</v>
      </c>
      <c r="O33" s="1">
        <f>'11.4'!$E29</f>
        <v>8.2400839999999995</v>
      </c>
      <c r="P33" s="1">
        <f>'11.4'!$G29</f>
        <v>27.226828000000001</v>
      </c>
      <c r="Q33" s="3">
        <f t="shared" si="15"/>
        <v>35.466912000000001</v>
      </c>
      <c r="R33" s="3" t="str">
        <f t="shared" si="10"/>
        <v/>
      </c>
      <c r="T33" s="1">
        <f t="shared" si="16"/>
        <v>35.113919000000003</v>
      </c>
      <c r="U33" s="1">
        <f t="shared" si="17"/>
        <v>39.265059000000001</v>
      </c>
      <c r="V33" s="1">
        <f t="shared" si="18"/>
        <v>37.218797250000001</v>
      </c>
    </row>
    <row r="34" spans="1:22" x14ac:dyDescent="0.2">
      <c r="A34" t="str">
        <f>'9.7.0.18'!$H30</f>
        <v>av-mp-va-tst-6-14-toedieningsduur-v20.xml</v>
      </c>
      <c r="B34" s="5">
        <f>'9.7.0.18'!$C30</f>
        <v>9849</v>
      </c>
      <c r="C34" s="1">
        <f>'9.7.0.18'!$E30</f>
        <v>7.2828790000000003</v>
      </c>
      <c r="D34" s="1">
        <f>'9.7.0.18'!$G30</f>
        <v>28.288312999999999</v>
      </c>
      <c r="E34" s="3">
        <f t="shared" si="11"/>
        <v>35.571191999999996</v>
      </c>
      <c r="F34" s="3" t="str">
        <f t="shared" si="12"/>
        <v/>
      </c>
      <c r="G34" s="1">
        <f>'9.8.0.15'!$E30</f>
        <v>8.3171219999999995</v>
      </c>
      <c r="H34" s="1">
        <f>'9.8.0.15'!$G30</f>
        <v>26.796859999999999</v>
      </c>
      <c r="I34" s="3">
        <f t="shared" si="13"/>
        <v>35.113982</v>
      </c>
      <c r="J34" s="3" t="str">
        <f t="shared" si="6"/>
        <v/>
      </c>
      <c r="K34" s="1">
        <f>'9.9.1.8'!$E30</f>
        <v>8.9845419999999994</v>
      </c>
      <c r="L34" s="1">
        <f>'9.9.1.8'!$G30</f>
        <v>26.070929</v>
      </c>
      <c r="M34" s="3">
        <f t="shared" si="14"/>
        <v>35.055470999999997</v>
      </c>
      <c r="N34" s="3" t="str">
        <f t="shared" si="8"/>
        <v>L</v>
      </c>
      <c r="O34" s="1">
        <f>'11.4'!$E30</f>
        <v>8.0872910000000005</v>
      </c>
      <c r="P34" s="1">
        <f>'11.4'!$G30</f>
        <v>28.169651000000002</v>
      </c>
      <c r="Q34" s="3">
        <f t="shared" si="15"/>
        <v>36.256942000000002</v>
      </c>
      <c r="R34" s="3" t="str">
        <f t="shared" si="10"/>
        <v>H</v>
      </c>
      <c r="T34" s="1">
        <f t="shared" si="16"/>
        <v>35.055470999999997</v>
      </c>
      <c r="U34" s="1">
        <f t="shared" si="17"/>
        <v>36.256942000000002</v>
      </c>
      <c r="V34" s="1">
        <f t="shared" si="18"/>
        <v>35.499396749999995</v>
      </c>
    </row>
    <row r="35" spans="1:22" x14ac:dyDescent="0.2">
      <c r="A35" t="str">
        <f>'9.7.0.18'!$H31</f>
        <v>av-mp-va-tst-6-15-zonodig-v20.xml</v>
      </c>
      <c r="B35" s="5">
        <f>'9.7.0.18'!$C31</f>
        <v>9886</v>
      </c>
      <c r="C35" s="1">
        <f>'9.7.0.18'!$E31</f>
        <v>7.8062579999999997</v>
      </c>
      <c r="D35" s="1">
        <f>'9.7.0.18'!$G31</f>
        <v>29.343295000000001</v>
      </c>
      <c r="E35" s="3">
        <f t="shared" si="11"/>
        <v>37.149552999999997</v>
      </c>
      <c r="F35" s="3" t="str">
        <f t="shared" si="12"/>
        <v/>
      </c>
      <c r="G35" s="1">
        <f>'9.8.0.15'!$E31</f>
        <v>7.8826970000000003</v>
      </c>
      <c r="H35" s="1">
        <f>'9.8.0.15'!$G31</f>
        <v>29.753634000000002</v>
      </c>
      <c r="I35" s="3">
        <f t="shared" si="13"/>
        <v>37.636330999999998</v>
      </c>
      <c r="J35" s="3" t="str">
        <f t="shared" si="6"/>
        <v/>
      </c>
      <c r="K35" s="1">
        <f>'9.9.1.8'!$E31</f>
        <v>7.8816420000000003</v>
      </c>
      <c r="L35" s="1">
        <f>'9.9.1.8'!$G31</f>
        <v>32.279035999999998</v>
      </c>
      <c r="M35" s="3">
        <f t="shared" si="14"/>
        <v>40.160677999999997</v>
      </c>
      <c r="N35" s="3" t="str">
        <f t="shared" si="8"/>
        <v>H</v>
      </c>
      <c r="O35" s="1">
        <f>'11.4'!$E31</f>
        <v>7.2776750000000003</v>
      </c>
      <c r="P35" s="1">
        <f>'11.4'!$G31</f>
        <v>28.260618999999998</v>
      </c>
      <c r="Q35" s="3">
        <f t="shared" si="15"/>
        <v>35.538294</v>
      </c>
      <c r="R35" s="3" t="str">
        <f t="shared" si="10"/>
        <v>L</v>
      </c>
      <c r="T35" s="1">
        <f t="shared" si="16"/>
        <v>35.538294</v>
      </c>
      <c r="U35" s="1">
        <f t="shared" si="17"/>
        <v>40.160677999999997</v>
      </c>
      <c r="V35" s="1">
        <f t="shared" si="18"/>
        <v>37.621214000000002</v>
      </c>
    </row>
    <row r="36" spans="1:22" x14ac:dyDescent="0.2">
      <c r="A36" t="str">
        <f>'9.7.0.18'!$H32</f>
        <v>av-mp-va-tst-6-2-interval-v20.xml</v>
      </c>
      <c r="B36" s="5">
        <f>'9.7.0.18'!$C32</f>
        <v>9820</v>
      </c>
      <c r="C36" s="1">
        <f>'9.7.0.18'!$E32</f>
        <v>9.5060599999999997</v>
      </c>
      <c r="D36" s="1">
        <f>'9.7.0.18'!$G32</f>
        <v>26.709727000000001</v>
      </c>
      <c r="E36" s="3">
        <f t="shared" si="11"/>
        <v>36.215786999999999</v>
      </c>
      <c r="F36" s="3" t="str">
        <f t="shared" si="12"/>
        <v>L</v>
      </c>
      <c r="G36" s="1">
        <f>'9.8.0.15'!$E32</f>
        <v>7.43635</v>
      </c>
      <c r="H36" s="1">
        <f>'9.8.0.15'!$G32</f>
        <v>31.094560999999999</v>
      </c>
      <c r="I36" s="3">
        <f t="shared" si="13"/>
        <v>38.530910999999996</v>
      </c>
      <c r="J36" s="3" t="str">
        <f t="shared" si="6"/>
        <v>H</v>
      </c>
      <c r="K36" s="1">
        <f>'9.9.1.8'!$E32</f>
        <v>7.6288799999999997</v>
      </c>
      <c r="L36" s="1">
        <f>'9.9.1.8'!$G32</f>
        <v>30.798484999999999</v>
      </c>
      <c r="M36" s="3">
        <f t="shared" si="14"/>
        <v>38.427365000000002</v>
      </c>
      <c r="N36" s="3" t="str">
        <f t="shared" si="8"/>
        <v/>
      </c>
      <c r="O36" s="1">
        <f>'11.4'!$E32</f>
        <v>7.3822109999999999</v>
      </c>
      <c r="P36" s="1">
        <f>'11.4'!$G32</f>
        <v>29.947317999999999</v>
      </c>
      <c r="Q36" s="3">
        <f t="shared" si="15"/>
        <v>37.329529000000001</v>
      </c>
      <c r="R36" s="3" t="str">
        <f t="shared" si="10"/>
        <v/>
      </c>
      <c r="T36" s="1">
        <f t="shared" si="16"/>
        <v>36.215786999999999</v>
      </c>
      <c r="U36" s="1">
        <f t="shared" si="17"/>
        <v>38.530910999999996</v>
      </c>
      <c r="V36" s="1">
        <f t="shared" si="18"/>
        <v>37.625897999999999</v>
      </c>
    </row>
    <row r="37" spans="1:22" x14ac:dyDescent="0.2">
      <c r="A37" t="str">
        <f>'9.7.0.18'!$H33</f>
        <v>av-mp-va-tst-6-3-variabele-hoeveelheid-v20.xml</v>
      </c>
      <c r="B37" s="5">
        <f>'9.7.0.18'!$C33</f>
        <v>10073</v>
      </c>
      <c r="C37" s="1">
        <f>'9.7.0.18'!$E33</f>
        <v>7.7744450000000001</v>
      </c>
      <c r="D37" s="1">
        <f>'9.7.0.18'!$G33</f>
        <v>28.905380000000001</v>
      </c>
      <c r="E37" s="3">
        <f t="shared" si="11"/>
        <v>36.679825000000001</v>
      </c>
      <c r="F37" s="3" t="str">
        <f t="shared" si="12"/>
        <v/>
      </c>
      <c r="G37" s="1">
        <f>'9.8.0.15'!$E33</f>
        <v>8.4602229999999992</v>
      </c>
      <c r="H37" s="1">
        <f>'9.8.0.15'!$G33</f>
        <v>33.270415</v>
      </c>
      <c r="I37" s="3">
        <f t="shared" si="13"/>
        <v>41.730637999999999</v>
      </c>
      <c r="J37" s="3" t="str">
        <f t="shared" si="6"/>
        <v>H</v>
      </c>
      <c r="K37" s="1">
        <f>'9.9.1.8'!$E33</f>
        <v>7.5937349999999997</v>
      </c>
      <c r="L37" s="1">
        <f>'9.9.1.8'!$G33</f>
        <v>25.952476000000001</v>
      </c>
      <c r="M37" s="3">
        <f t="shared" si="14"/>
        <v>33.546211</v>
      </c>
      <c r="N37" s="3" t="str">
        <f t="shared" si="8"/>
        <v>L</v>
      </c>
      <c r="O37" s="1">
        <f>'11.4'!$E33</f>
        <v>7.3312059999999999</v>
      </c>
      <c r="P37" s="1">
        <f>'11.4'!$G33</f>
        <v>29.707557000000001</v>
      </c>
      <c r="Q37" s="3">
        <f t="shared" si="15"/>
        <v>37.038763000000003</v>
      </c>
      <c r="R37" s="3" t="str">
        <f t="shared" si="10"/>
        <v/>
      </c>
      <c r="T37" s="1">
        <f t="shared" si="16"/>
        <v>33.546211</v>
      </c>
      <c r="U37" s="1">
        <f t="shared" si="17"/>
        <v>41.730637999999999</v>
      </c>
      <c r="V37" s="1">
        <f t="shared" si="18"/>
        <v>37.248859249999995</v>
      </c>
    </row>
    <row r="38" spans="1:22" x14ac:dyDescent="0.2">
      <c r="A38" t="str">
        <f>'9.7.0.18'!$H34</f>
        <v>av-mp-va-tst-6-4-zonder-keerdosis-v20.xml</v>
      </c>
      <c r="B38" s="5">
        <f>'9.7.0.18'!$C34</f>
        <v>9709</v>
      </c>
      <c r="C38" s="1">
        <f>'9.7.0.18'!$E34</f>
        <v>7.4940800000000003</v>
      </c>
      <c r="D38" s="1">
        <f>'9.7.0.18'!$G34</f>
        <v>29.319776999999998</v>
      </c>
      <c r="E38" s="3">
        <f t="shared" si="11"/>
        <v>36.813856999999999</v>
      </c>
      <c r="F38" s="3" t="str">
        <f t="shared" si="12"/>
        <v>L</v>
      </c>
      <c r="G38" s="1">
        <f>'9.8.0.15'!$E34</f>
        <v>8.9000579999999996</v>
      </c>
      <c r="H38" s="1">
        <f>'9.8.0.15'!$G34</f>
        <v>31.73929</v>
      </c>
      <c r="I38" s="3">
        <f t="shared" si="13"/>
        <v>40.639347999999998</v>
      </c>
      <c r="J38" s="3" t="str">
        <f t="shared" si="6"/>
        <v>H</v>
      </c>
      <c r="K38" s="1">
        <f>'9.9.1.8'!$E34</f>
        <v>7.9050669999999998</v>
      </c>
      <c r="L38" s="1">
        <f>'9.9.1.8'!$G34</f>
        <v>31.491439</v>
      </c>
      <c r="M38" s="3">
        <f t="shared" si="14"/>
        <v>39.396506000000002</v>
      </c>
      <c r="N38" s="3" t="str">
        <f t="shared" si="8"/>
        <v/>
      </c>
      <c r="O38" s="1">
        <f>'11.4'!$E34</f>
        <v>6.3124279999999997</v>
      </c>
      <c r="P38" s="1">
        <f>'11.4'!$G34</f>
        <v>30.613896</v>
      </c>
      <c r="Q38" s="3">
        <f t="shared" si="15"/>
        <v>36.926324000000001</v>
      </c>
      <c r="R38" s="3" t="str">
        <f t="shared" si="10"/>
        <v/>
      </c>
      <c r="T38" s="1">
        <f t="shared" si="16"/>
        <v>36.813856999999999</v>
      </c>
      <c r="U38" s="1">
        <f t="shared" si="17"/>
        <v>40.639347999999998</v>
      </c>
      <c r="V38" s="1">
        <f t="shared" si="18"/>
        <v>38.444008750000002</v>
      </c>
    </row>
    <row r="39" spans="1:22" x14ac:dyDescent="0.2">
      <c r="A39" t="str">
        <f>'9.7.0.18'!$H35</f>
        <v>av-mp-va-tst-6-5-bijzondere-keerdosis-v20.xml</v>
      </c>
      <c r="B39" s="5">
        <f>'9.7.0.18'!$C35</f>
        <v>9675</v>
      </c>
      <c r="C39" s="1">
        <f>'9.7.0.18'!$E35</f>
        <v>8.2371700000000008</v>
      </c>
      <c r="D39" s="1">
        <f>'9.7.0.18'!$G35</f>
        <v>25.362090999999999</v>
      </c>
      <c r="E39" s="3">
        <f t="shared" si="11"/>
        <v>33.599260999999998</v>
      </c>
      <c r="F39" s="3" t="str">
        <f t="shared" si="12"/>
        <v/>
      </c>
      <c r="G39" s="1">
        <f>'9.8.0.15'!$E35</f>
        <v>8.4962210000000002</v>
      </c>
      <c r="H39" s="1">
        <f>'9.8.0.15'!$G35</f>
        <v>33.895052999999997</v>
      </c>
      <c r="I39" s="3">
        <f t="shared" si="13"/>
        <v>42.391273999999996</v>
      </c>
      <c r="J39" s="3" t="str">
        <f t="shared" si="6"/>
        <v>H</v>
      </c>
      <c r="K39" s="1">
        <f>'9.9.1.8'!$E35</f>
        <v>6.9432660000000004</v>
      </c>
      <c r="L39" s="1">
        <f>'9.9.1.8'!$G35</f>
        <v>25.735924000000001</v>
      </c>
      <c r="M39" s="3">
        <f t="shared" si="14"/>
        <v>32.679189999999998</v>
      </c>
      <c r="N39" s="3" t="str">
        <f t="shared" si="8"/>
        <v>L</v>
      </c>
      <c r="O39" s="1">
        <f>'11.4'!$E35</f>
        <v>7.3482820000000002</v>
      </c>
      <c r="P39" s="1">
        <f>'11.4'!$G35</f>
        <v>28.539059000000002</v>
      </c>
      <c r="Q39" s="3">
        <f t="shared" si="15"/>
        <v>35.887340999999999</v>
      </c>
      <c r="R39" s="3" t="str">
        <f t="shared" si="10"/>
        <v/>
      </c>
      <c r="T39" s="1">
        <f t="shared" si="16"/>
        <v>32.679189999999998</v>
      </c>
      <c r="U39" s="1">
        <f t="shared" si="17"/>
        <v>42.391273999999996</v>
      </c>
      <c r="V39" s="1">
        <f t="shared" si="18"/>
        <v>36.139266499999998</v>
      </c>
    </row>
    <row r="40" spans="1:22" x14ac:dyDescent="0.2">
      <c r="A40" t="str">
        <f>'9.7.0.18'!$H36</f>
        <v>av-mp-va-tst-6-6-variabele-hoeveelheid-2-v20.xml</v>
      </c>
      <c r="B40" s="5">
        <f>'9.7.0.18'!$C36</f>
        <v>11200</v>
      </c>
      <c r="C40" s="1">
        <f>'9.7.0.18'!$E36</f>
        <v>6.1502239999999997</v>
      </c>
      <c r="D40" s="1">
        <f>'9.7.0.18'!$G36</f>
        <v>28.198602999999999</v>
      </c>
      <c r="E40" s="3">
        <f t="shared" si="11"/>
        <v>34.348827</v>
      </c>
      <c r="F40" s="3" t="str">
        <f t="shared" si="12"/>
        <v/>
      </c>
      <c r="G40" s="1">
        <f>'9.8.0.15'!$E36</f>
        <v>8.9685469999999992</v>
      </c>
      <c r="H40" s="1">
        <f>'9.8.0.15'!$G36</f>
        <v>34.801099999999998</v>
      </c>
      <c r="I40" s="3">
        <f t="shared" si="13"/>
        <v>43.769646999999999</v>
      </c>
      <c r="J40" s="3" t="str">
        <f t="shared" si="6"/>
        <v>H</v>
      </c>
      <c r="K40" s="1">
        <f>'9.9.1.8'!$E36</f>
        <v>6.8803489999999998</v>
      </c>
      <c r="L40" s="1">
        <f>'9.9.1.8'!$G36</f>
        <v>26.690707</v>
      </c>
      <c r="M40" s="3">
        <f t="shared" si="14"/>
        <v>33.571055999999999</v>
      </c>
      <c r="N40" s="3" t="str">
        <f t="shared" si="8"/>
        <v>L</v>
      </c>
      <c r="O40" s="1">
        <f>'11.4'!$E36</f>
        <v>7.3487239999999998</v>
      </c>
      <c r="P40" s="1">
        <f>'11.4'!$G36</f>
        <v>30.671323000000001</v>
      </c>
      <c r="Q40" s="3">
        <f t="shared" si="15"/>
        <v>38.020046999999998</v>
      </c>
      <c r="R40" s="3" t="str">
        <f t="shared" si="10"/>
        <v/>
      </c>
      <c r="T40" s="1">
        <f t="shared" si="16"/>
        <v>33.571055999999999</v>
      </c>
      <c r="U40" s="1">
        <f t="shared" si="17"/>
        <v>43.769646999999999</v>
      </c>
      <c r="V40" s="1">
        <f t="shared" si="18"/>
        <v>37.427394249999999</v>
      </c>
    </row>
    <row r="41" spans="1:22" x14ac:dyDescent="0.2">
      <c r="A41" t="str">
        <f>'9.7.0.18'!$H37</f>
        <v>av-mp-va-tst-6-7a-tijdstippen-flexibel-v20.xml</v>
      </c>
      <c r="B41" s="5">
        <f>'9.7.0.18'!$C37</f>
        <v>9906</v>
      </c>
      <c r="C41" s="1">
        <f>'9.7.0.18'!$E37</f>
        <v>6.3279629999999996</v>
      </c>
      <c r="D41" s="1">
        <f>'9.7.0.18'!$G37</f>
        <v>26.35313</v>
      </c>
      <c r="E41" s="3">
        <f t="shared" si="11"/>
        <v>32.681092999999997</v>
      </c>
      <c r="F41" s="3" t="str">
        <f t="shared" si="12"/>
        <v/>
      </c>
      <c r="G41" s="1">
        <f>'9.8.0.15'!$E37</f>
        <v>8.5283110000000004</v>
      </c>
      <c r="H41" s="1">
        <f>'9.8.0.15'!$G37</f>
        <v>29.249348999999999</v>
      </c>
      <c r="I41" s="3">
        <f t="shared" si="13"/>
        <v>37.777659999999997</v>
      </c>
      <c r="J41" s="3" t="str">
        <f t="shared" si="6"/>
        <v>H</v>
      </c>
      <c r="K41" s="1">
        <f>'9.9.1.8'!$E37</f>
        <v>6.9164830000000004</v>
      </c>
      <c r="L41" s="1">
        <f>'9.9.1.8'!$G37</f>
        <v>23.714358000000001</v>
      </c>
      <c r="M41" s="3">
        <f t="shared" si="14"/>
        <v>30.630841</v>
      </c>
      <c r="N41" s="3" t="str">
        <f t="shared" si="8"/>
        <v>L</v>
      </c>
      <c r="O41" s="1">
        <f>'11.4'!$E37</f>
        <v>7.7508429999999997</v>
      </c>
      <c r="P41" s="1">
        <f>'11.4'!$G37</f>
        <v>25.946334</v>
      </c>
      <c r="Q41" s="3">
        <f t="shared" si="15"/>
        <v>33.697176999999996</v>
      </c>
      <c r="R41" s="3" t="str">
        <f t="shared" si="10"/>
        <v/>
      </c>
      <c r="T41" s="1">
        <f t="shared" si="16"/>
        <v>30.630841</v>
      </c>
      <c r="U41" s="1">
        <f t="shared" si="17"/>
        <v>37.777659999999997</v>
      </c>
      <c r="V41" s="1">
        <f t="shared" si="18"/>
        <v>33.696692749999997</v>
      </c>
    </row>
    <row r="42" spans="1:22" x14ac:dyDescent="0.2">
      <c r="A42" t="str">
        <f>'9.7.0.18'!$H38</f>
        <v>av-mp-va-tst-6-7b-tijdstippen-niet-flexibe-v20.xml</v>
      </c>
      <c r="B42" s="5">
        <f>'9.7.0.18'!$C38</f>
        <v>9524</v>
      </c>
      <c r="C42" s="1">
        <f>'9.7.0.18'!$E38</f>
        <v>6.9830389999999998</v>
      </c>
      <c r="D42" s="1">
        <f>'9.7.0.18'!$G38</f>
        <v>28.109757999999999</v>
      </c>
      <c r="E42" s="3">
        <f t="shared" si="11"/>
        <v>35.092796999999997</v>
      </c>
      <c r="F42" s="3" t="str">
        <f t="shared" si="12"/>
        <v/>
      </c>
      <c r="G42" s="1">
        <f>'9.8.0.15'!$E38</f>
        <v>6.6682569999999997</v>
      </c>
      <c r="H42" s="1">
        <f>'9.8.0.15'!$G38</f>
        <v>32.860484</v>
      </c>
      <c r="I42" s="3">
        <f t="shared" si="13"/>
        <v>39.528740999999997</v>
      </c>
      <c r="J42" s="3" t="str">
        <f t="shared" si="6"/>
        <v/>
      </c>
      <c r="K42" s="1">
        <f>'9.9.1.8'!$E38</f>
        <v>6.7777079999999996</v>
      </c>
      <c r="L42" s="1">
        <f>'9.9.1.8'!$G38</f>
        <v>27.839964999999999</v>
      </c>
      <c r="M42" s="3">
        <f t="shared" si="14"/>
        <v>34.617672999999996</v>
      </c>
      <c r="N42" s="3" t="str">
        <f t="shared" si="8"/>
        <v>L</v>
      </c>
      <c r="O42" s="1">
        <f>'11.4'!$E38</f>
        <v>7.6644620000000003</v>
      </c>
      <c r="P42" s="1">
        <f>'11.4'!$G38</f>
        <v>34.472630000000002</v>
      </c>
      <c r="Q42" s="3">
        <f t="shared" si="15"/>
        <v>42.137092000000003</v>
      </c>
      <c r="R42" s="3" t="str">
        <f t="shared" si="10"/>
        <v>H</v>
      </c>
      <c r="T42" s="1">
        <f t="shared" si="16"/>
        <v>34.617672999999996</v>
      </c>
      <c r="U42" s="1">
        <f t="shared" si="17"/>
        <v>42.137092000000003</v>
      </c>
      <c r="V42" s="1">
        <f t="shared" si="18"/>
        <v>37.844075749999995</v>
      </c>
    </row>
    <row r="43" spans="1:22" x14ac:dyDescent="0.2">
      <c r="A43" t="str">
        <f>'9.7.0.18'!$H39</f>
        <v>av-mp-va-tst-6-8-weekdagen-v20.xml</v>
      </c>
      <c r="B43" s="5">
        <f>'9.7.0.18'!$C39</f>
        <v>10065</v>
      </c>
      <c r="C43" s="1">
        <f>'9.7.0.18'!$E39</f>
        <v>7.4427250000000003</v>
      </c>
      <c r="D43" s="1">
        <f>'9.7.0.18'!$G39</f>
        <v>26.351621999999999</v>
      </c>
      <c r="E43" s="3">
        <f t="shared" si="11"/>
        <v>33.794347000000002</v>
      </c>
      <c r="F43" s="3" t="str">
        <f t="shared" si="12"/>
        <v/>
      </c>
      <c r="G43" s="1">
        <f>'9.8.0.15'!$E39</f>
        <v>7.8464939999999999</v>
      </c>
      <c r="H43" s="1">
        <f>'9.8.0.15'!$G39</f>
        <v>28.289142999999999</v>
      </c>
      <c r="I43" s="3">
        <f t="shared" si="13"/>
        <v>36.135637000000003</v>
      </c>
      <c r="J43" s="3" t="str">
        <f t="shared" si="6"/>
        <v>H</v>
      </c>
      <c r="K43" s="1">
        <f>'9.9.1.8'!$E39</f>
        <v>7.1665330000000003</v>
      </c>
      <c r="L43" s="1">
        <f>'9.9.1.8'!$G39</f>
        <v>26.035198999999999</v>
      </c>
      <c r="M43" s="3">
        <f t="shared" si="14"/>
        <v>33.201732</v>
      </c>
      <c r="N43" s="3" t="str">
        <f t="shared" si="8"/>
        <v>L</v>
      </c>
      <c r="O43" s="1">
        <f>'11.4'!$E39</f>
        <v>7.7164820000000001</v>
      </c>
      <c r="P43" s="1">
        <f>'11.4'!$G39</f>
        <v>26.373595999999999</v>
      </c>
      <c r="Q43" s="3">
        <f t="shared" si="15"/>
        <v>34.090077999999998</v>
      </c>
      <c r="R43" s="3" t="str">
        <f t="shared" si="10"/>
        <v/>
      </c>
      <c r="T43" s="1">
        <f t="shared" si="16"/>
        <v>33.201732</v>
      </c>
      <c r="U43" s="1">
        <f t="shared" si="17"/>
        <v>36.135637000000003</v>
      </c>
      <c r="V43" s="1">
        <f t="shared" si="18"/>
        <v>34.305448500000004</v>
      </c>
    </row>
    <row r="44" spans="1:22" x14ac:dyDescent="0.2">
      <c r="A44" t="str">
        <f>'9.7.0.18'!$H40</f>
        <v>av-mp-va-tst-6-9-dagdeel-v20.xml</v>
      </c>
      <c r="B44" s="5">
        <f>'9.7.0.18'!$C40</f>
        <v>9456</v>
      </c>
      <c r="C44" s="1">
        <f>'9.7.0.18'!$E40</f>
        <v>7.2649369999999998</v>
      </c>
      <c r="D44" s="1">
        <f>'9.7.0.18'!$G40</f>
        <v>23.912766000000001</v>
      </c>
      <c r="E44" s="3">
        <f t="shared" si="11"/>
        <v>31.177703000000001</v>
      </c>
      <c r="F44" s="3" t="str">
        <f t="shared" si="12"/>
        <v>L</v>
      </c>
      <c r="G44" s="1">
        <f>'9.8.0.15'!$E40</f>
        <v>8.827636</v>
      </c>
      <c r="H44" s="1">
        <f>'9.8.0.15'!$G40</f>
        <v>28.714445000000001</v>
      </c>
      <c r="I44" s="3">
        <f t="shared" si="13"/>
        <v>37.542081000000003</v>
      </c>
      <c r="J44" s="3" t="str">
        <f t="shared" si="6"/>
        <v>H</v>
      </c>
      <c r="K44" s="1">
        <f>'9.9.1.8'!$E40</f>
        <v>7.3144169999999997</v>
      </c>
      <c r="L44" s="1">
        <f>'9.9.1.8'!$G40</f>
        <v>24.788316999999999</v>
      </c>
      <c r="M44" s="3">
        <f t="shared" si="14"/>
        <v>32.102733999999998</v>
      </c>
      <c r="N44" s="3" t="str">
        <f t="shared" si="8"/>
        <v/>
      </c>
      <c r="O44" s="1">
        <f>'11.4'!$E40</f>
        <v>7.3413709999999996</v>
      </c>
      <c r="P44" s="1">
        <f>'11.4'!$G40</f>
        <v>24.333576999999998</v>
      </c>
      <c r="Q44" s="3">
        <f t="shared" si="15"/>
        <v>31.674947999999997</v>
      </c>
      <c r="R44" s="3" t="str">
        <f t="shared" si="10"/>
        <v/>
      </c>
      <c r="T44" s="1">
        <f t="shared" si="16"/>
        <v>31.177703000000001</v>
      </c>
      <c r="U44" s="1">
        <f t="shared" si="17"/>
        <v>37.542081000000003</v>
      </c>
      <c r="V44" s="1">
        <f t="shared" si="18"/>
        <v>33.124366500000001</v>
      </c>
    </row>
    <row r="45" spans="1:22" x14ac:dyDescent="0.2">
      <c r="A45" t="str">
        <f>'9.7.0.18'!$H41</f>
        <v>av-mp-va-tst-7-1-alle-ingredienten-v20.xml</v>
      </c>
      <c r="B45" s="5">
        <f>'9.7.0.18'!$C41</f>
        <v>14110</v>
      </c>
      <c r="C45" s="1">
        <f>'9.7.0.18'!$E41</f>
        <v>8.1180219999999998</v>
      </c>
      <c r="D45" s="1">
        <f>'9.7.0.18'!$G41</f>
        <v>27.642188999999998</v>
      </c>
      <c r="E45" s="3">
        <f t="shared" si="11"/>
        <v>35.760210999999998</v>
      </c>
      <c r="F45" s="3" t="str">
        <f t="shared" si="12"/>
        <v>L</v>
      </c>
      <c r="G45" s="1">
        <f>'9.8.0.15'!$E41</f>
        <v>9.3920770000000005</v>
      </c>
      <c r="H45" s="1">
        <f>'9.8.0.15'!$G41</f>
        <v>32.738655999999999</v>
      </c>
      <c r="I45" s="3">
        <f t="shared" si="13"/>
        <v>42.130732999999999</v>
      </c>
      <c r="J45" s="3" t="str">
        <f t="shared" si="6"/>
        <v/>
      </c>
      <c r="K45" s="1">
        <f>'9.9.1.8'!$E41</f>
        <v>7.129086</v>
      </c>
      <c r="L45" s="1">
        <f>'9.9.1.8'!$G41</f>
        <v>31.89021</v>
      </c>
      <c r="M45" s="3">
        <f t="shared" si="14"/>
        <v>39.019295999999997</v>
      </c>
      <c r="N45" s="3" t="str">
        <f t="shared" si="8"/>
        <v/>
      </c>
      <c r="O45" s="1">
        <f>'11.4'!$E41</f>
        <v>11.973324</v>
      </c>
      <c r="P45" s="1">
        <f>'11.4'!$G41</f>
        <v>30.403911999999998</v>
      </c>
      <c r="Q45" s="3">
        <f t="shared" si="15"/>
        <v>42.377235999999996</v>
      </c>
      <c r="R45" s="3" t="str">
        <f t="shared" si="10"/>
        <v>H</v>
      </c>
      <c r="T45" s="1">
        <f t="shared" si="16"/>
        <v>35.760210999999998</v>
      </c>
      <c r="U45" s="1">
        <f t="shared" si="17"/>
        <v>42.377235999999996</v>
      </c>
      <c r="V45" s="1">
        <f t="shared" si="18"/>
        <v>39.821868999999992</v>
      </c>
    </row>
    <row r="46" spans="1:22" x14ac:dyDescent="0.2">
      <c r="A46" t="str">
        <f>'9.7.0.18'!$H42</f>
        <v>av-mp-va-tst-7-2-actief-ingredient-v20.xml</v>
      </c>
      <c r="B46" s="5">
        <f>'9.7.0.18'!$C42</f>
        <v>11120</v>
      </c>
      <c r="C46" s="1">
        <f>'9.7.0.18'!$E42</f>
        <v>7.7372230000000002</v>
      </c>
      <c r="D46" s="1">
        <f>'9.7.0.18'!$G42</f>
        <v>26.907247000000002</v>
      </c>
      <c r="E46" s="3">
        <f t="shared" si="11"/>
        <v>34.644469999999998</v>
      </c>
      <c r="F46" s="3" t="str">
        <f t="shared" si="12"/>
        <v/>
      </c>
      <c r="G46" s="1">
        <f>'9.8.0.15'!$E42</f>
        <v>8.2600049999999996</v>
      </c>
      <c r="H46" s="1">
        <f>'9.8.0.15'!$G42</f>
        <v>30.975473999999998</v>
      </c>
      <c r="I46" s="3">
        <f t="shared" si="13"/>
        <v>39.235478999999998</v>
      </c>
      <c r="J46" s="3" t="str">
        <f t="shared" si="6"/>
        <v/>
      </c>
      <c r="K46" s="1">
        <f>'9.9.1.8'!$E42</f>
        <v>7.9547720000000002</v>
      </c>
      <c r="L46" s="1">
        <f>'9.9.1.8'!$G42</f>
        <v>24.997081000000001</v>
      </c>
      <c r="M46" s="3">
        <f t="shared" si="14"/>
        <v>32.951853</v>
      </c>
      <c r="N46" s="3" t="str">
        <f t="shared" si="8"/>
        <v>L</v>
      </c>
      <c r="O46" s="1">
        <f>'11.4'!$E42</f>
        <v>8.2219859999999994</v>
      </c>
      <c r="P46" s="1">
        <f>'11.4'!$G42</f>
        <v>33.952105000000003</v>
      </c>
      <c r="Q46" s="3">
        <f t="shared" si="15"/>
        <v>42.174091000000004</v>
      </c>
      <c r="R46" s="3" t="str">
        <f t="shared" si="10"/>
        <v>H</v>
      </c>
      <c r="T46" s="1">
        <f t="shared" si="16"/>
        <v>32.951853</v>
      </c>
      <c r="U46" s="1">
        <f t="shared" si="17"/>
        <v>42.174091000000004</v>
      </c>
      <c r="V46" s="1">
        <f t="shared" si="18"/>
        <v>37.251473250000004</v>
      </c>
    </row>
    <row r="47" spans="1:22" x14ac:dyDescent="0.2">
      <c r="A47" t="str">
        <f>'9.7.0.18'!$H43</f>
        <v>av-mp-va-tst-7-3-90-miljoen-nr-v20.xml</v>
      </c>
      <c r="B47" s="5">
        <f>'9.7.0.18'!$C43</f>
        <v>11650</v>
      </c>
      <c r="C47" s="1">
        <f>'9.7.0.18'!$E43</f>
        <v>7.0727510000000002</v>
      </c>
      <c r="D47" s="1">
        <f>'9.7.0.18'!$G43</f>
        <v>28.153178</v>
      </c>
      <c r="E47" s="3">
        <f t="shared" si="11"/>
        <v>35.225929000000001</v>
      </c>
      <c r="F47" s="3" t="str">
        <f t="shared" si="12"/>
        <v>L</v>
      </c>
      <c r="G47" s="1">
        <f>'9.8.0.15'!$E43</f>
        <v>7.2048449999999997</v>
      </c>
      <c r="H47" s="1">
        <f>'9.8.0.15'!$G43</f>
        <v>28.378933</v>
      </c>
      <c r="I47" s="3">
        <f t="shared" si="13"/>
        <v>35.583778000000002</v>
      </c>
      <c r="J47" s="3" t="str">
        <f t="shared" si="6"/>
        <v>H</v>
      </c>
      <c r="K47" s="1">
        <f>'9.9.1.8'!$E43</f>
        <v>7.1274959999999998</v>
      </c>
      <c r="L47" s="1">
        <f>'9.9.1.8'!$G43</f>
        <v>28.208658</v>
      </c>
      <c r="M47" s="3">
        <f t="shared" si="14"/>
        <v>35.336154000000001</v>
      </c>
      <c r="N47" s="3" t="str">
        <f t="shared" si="8"/>
        <v/>
      </c>
      <c r="O47" s="1">
        <f>'11.4'!$E43</f>
        <v>7.7252530000000004</v>
      </c>
      <c r="P47" s="1">
        <f>'11.4'!$G43</f>
        <v>27.583784999999999</v>
      </c>
      <c r="Q47" s="3">
        <f t="shared" si="15"/>
        <v>35.309038000000001</v>
      </c>
      <c r="R47" s="3" t="str">
        <f t="shared" si="10"/>
        <v/>
      </c>
      <c r="T47" s="1">
        <f t="shared" si="16"/>
        <v>35.225929000000001</v>
      </c>
      <c r="U47" s="1">
        <f t="shared" si="17"/>
        <v>35.583778000000002</v>
      </c>
      <c r="V47" s="1">
        <f t="shared" si="18"/>
        <v>35.363724750000003</v>
      </c>
    </row>
    <row r="48" spans="1:22" x14ac:dyDescent="0.2">
      <c r="A48" t="str">
        <f>'9.7.0.18'!$H44</f>
        <v>av-mp-va-tst-9-1a-verbruiksperiode-start-eind-v20.xml</v>
      </c>
      <c r="B48" s="5">
        <f>'9.7.0.18'!$C44</f>
        <v>9845</v>
      </c>
      <c r="C48" s="1">
        <f>'9.7.0.18'!$E44</f>
        <v>7.1784660000000002</v>
      </c>
      <c r="D48" s="1">
        <f>'9.7.0.18'!$G44</f>
        <v>33.102834999999999</v>
      </c>
      <c r="E48" s="3">
        <f t="shared" si="11"/>
        <v>40.281300999999999</v>
      </c>
      <c r="F48" s="3" t="str">
        <f t="shared" si="12"/>
        <v>H</v>
      </c>
      <c r="G48" s="1">
        <f>'9.8.0.15'!$E44</f>
        <v>8.1293019999999991</v>
      </c>
      <c r="H48" s="1">
        <f>'9.8.0.15'!$G44</f>
        <v>29.951764000000001</v>
      </c>
      <c r="I48" s="3">
        <f t="shared" si="13"/>
        <v>38.081066</v>
      </c>
      <c r="J48" s="3" t="str">
        <f t="shared" si="6"/>
        <v/>
      </c>
      <c r="K48" s="1">
        <f>'9.9.1.8'!$E44</f>
        <v>9.5378399999999992</v>
      </c>
      <c r="L48" s="1">
        <f>'9.9.1.8'!$G44</f>
        <v>26.936008000000001</v>
      </c>
      <c r="M48" s="3">
        <f t="shared" si="14"/>
        <v>36.473848000000004</v>
      </c>
      <c r="N48" s="3" t="str">
        <f t="shared" si="8"/>
        <v/>
      </c>
      <c r="O48" s="1">
        <f>'11.4'!$E44</f>
        <v>7.2372589999999999</v>
      </c>
      <c r="P48" s="1">
        <f>'11.4'!$G44</f>
        <v>27.181818</v>
      </c>
      <c r="Q48" s="3">
        <f t="shared" si="15"/>
        <v>34.419077000000001</v>
      </c>
      <c r="R48" s="3" t="str">
        <f t="shared" si="10"/>
        <v>L</v>
      </c>
      <c r="T48" s="1">
        <f t="shared" si="16"/>
        <v>34.419077000000001</v>
      </c>
      <c r="U48" s="1">
        <f t="shared" si="17"/>
        <v>40.281300999999999</v>
      </c>
      <c r="V48" s="1">
        <f t="shared" si="18"/>
        <v>37.313822999999999</v>
      </c>
    </row>
    <row r="49" spans="1:22" x14ac:dyDescent="0.2">
      <c r="A49" t="str">
        <f>'9.7.0.18'!$H45</f>
        <v>av-mp-va-tst-9-1b-verbruiksperiode-einddatum-v20.xml</v>
      </c>
      <c r="B49" s="5">
        <f>'9.7.0.18'!$C45</f>
        <v>10507</v>
      </c>
      <c r="C49" s="1">
        <f>'9.7.0.18'!$E45</f>
        <v>7.1182129999999999</v>
      </c>
      <c r="D49" s="1">
        <f>'9.7.0.18'!$G45</f>
        <v>24.576384000000001</v>
      </c>
      <c r="E49" s="3">
        <f t="shared" si="11"/>
        <v>31.694597000000002</v>
      </c>
      <c r="F49" s="3" t="str">
        <f t="shared" si="12"/>
        <v>L</v>
      </c>
      <c r="G49" s="1">
        <f>'9.8.0.15'!$E45</f>
        <v>7.5527379999999997</v>
      </c>
      <c r="H49" s="1">
        <f>'9.8.0.15'!$G45</f>
        <v>33.487133999999998</v>
      </c>
      <c r="I49" s="3">
        <f t="shared" si="13"/>
        <v>41.039871999999995</v>
      </c>
      <c r="J49" s="3" t="str">
        <f t="shared" si="6"/>
        <v>H</v>
      </c>
      <c r="K49" s="1">
        <f>'9.9.1.8'!$E45</f>
        <v>6.9794539999999996</v>
      </c>
      <c r="L49" s="1">
        <f>'9.9.1.8'!$G45</f>
        <v>25.392014</v>
      </c>
      <c r="M49" s="3">
        <f t="shared" si="14"/>
        <v>32.371468</v>
      </c>
      <c r="N49" s="3" t="str">
        <f t="shared" si="8"/>
        <v/>
      </c>
      <c r="O49" s="1">
        <f>'11.4'!$E45</f>
        <v>7.0857299999999999</v>
      </c>
      <c r="P49" s="1">
        <f>'11.4'!$G45</f>
        <v>29.931616000000002</v>
      </c>
      <c r="Q49" s="3">
        <f t="shared" si="15"/>
        <v>37.017346000000003</v>
      </c>
      <c r="R49" s="3" t="str">
        <f t="shared" si="10"/>
        <v/>
      </c>
      <c r="T49" s="1">
        <f t="shared" si="16"/>
        <v>31.694597000000002</v>
      </c>
      <c r="U49" s="1">
        <f t="shared" si="17"/>
        <v>41.039871999999995</v>
      </c>
      <c r="V49" s="1">
        <f t="shared" si="18"/>
        <v>35.530820749999997</v>
      </c>
    </row>
    <row r="50" spans="1:22" x14ac:dyDescent="0.2">
      <c r="A50" t="str">
        <f>'9.7.0.18'!$H46</f>
        <v>av-mp-va-tst-9-1c-verbruiksperiode-duur-v20.xml</v>
      </c>
      <c r="B50" s="5">
        <f>'9.7.0.18'!$C46</f>
        <v>9898</v>
      </c>
      <c r="C50" s="1">
        <f>'9.7.0.18'!$E46</f>
        <v>7.5247729999999997</v>
      </c>
      <c r="D50" s="1">
        <f>'9.7.0.18'!$G46</f>
        <v>37.243003000000002</v>
      </c>
      <c r="E50" s="3">
        <f t="shared" si="11"/>
        <v>44.767775999999998</v>
      </c>
      <c r="F50" s="3" t="str">
        <f t="shared" si="12"/>
        <v>H</v>
      </c>
      <c r="G50" s="1">
        <f>'9.8.0.15'!$E46</f>
        <v>7.6287779999999996</v>
      </c>
      <c r="H50" s="1">
        <f>'9.8.0.15'!$G46</f>
        <v>33.953378999999998</v>
      </c>
      <c r="I50" s="3">
        <f t="shared" si="13"/>
        <v>41.582156999999995</v>
      </c>
      <c r="J50" s="3" t="str">
        <f t="shared" si="6"/>
        <v/>
      </c>
      <c r="K50" s="1">
        <f>'9.9.1.8'!$E46</f>
        <v>7.8394139999999997</v>
      </c>
      <c r="L50" s="1">
        <f>'9.9.1.8'!$G46</f>
        <v>31.502341000000001</v>
      </c>
      <c r="M50" s="3">
        <f t="shared" si="14"/>
        <v>39.341754999999999</v>
      </c>
      <c r="N50" s="3" t="str">
        <f t="shared" si="8"/>
        <v/>
      </c>
      <c r="O50" s="1">
        <f>'11.4'!$E46</f>
        <v>6.9748849999999996</v>
      </c>
      <c r="P50" s="1">
        <f>'11.4'!$G46</f>
        <v>29.516387000000002</v>
      </c>
      <c r="Q50" s="3">
        <f t="shared" si="15"/>
        <v>36.491272000000002</v>
      </c>
      <c r="R50" s="3" t="str">
        <f t="shared" si="10"/>
        <v>L</v>
      </c>
      <c r="T50" s="1">
        <f t="shared" si="16"/>
        <v>36.491272000000002</v>
      </c>
      <c r="U50" s="1">
        <f t="shared" si="17"/>
        <v>44.767775999999998</v>
      </c>
      <c r="V50" s="1">
        <f t="shared" si="18"/>
        <v>40.545740000000002</v>
      </c>
    </row>
    <row r="51" spans="1:22" x14ac:dyDescent="0.2">
      <c r="A51" t="str">
        <f>'9.7.0.18'!$H47</f>
        <v>av-mp-va-tst-9-2-herhalingen-v20.xml</v>
      </c>
      <c r="B51" s="5">
        <f>'9.7.0.18'!$C47</f>
        <v>9572</v>
      </c>
      <c r="C51" s="1">
        <f>'9.7.0.18'!$E47</f>
        <v>6.5691119999999996</v>
      </c>
      <c r="D51" s="1">
        <f>'9.7.0.18'!$G47</f>
        <v>26.668323999999998</v>
      </c>
      <c r="E51" s="3">
        <f t="shared" si="11"/>
        <v>33.237435999999995</v>
      </c>
      <c r="F51" s="3" t="str">
        <f t="shared" si="12"/>
        <v>L</v>
      </c>
      <c r="G51" s="1">
        <f>'9.8.0.15'!$E47</f>
        <v>7.1678490000000004</v>
      </c>
      <c r="H51" s="1">
        <f>'9.8.0.15'!$G47</f>
        <v>29.150281</v>
      </c>
      <c r="I51" s="3">
        <f t="shared" si="13"/>
        <v>36.318129999999996</v>
      </c>
      <c r="J51" s="3" t="str">
        <f t="shared" si="6"/>
        <v>H</v>
      </c>
      <c r="K51" s="1">
        <f>'9.9.1.8'!$E47</f>
        <v>7.0358080000000003</v>
      </c>
      <c r="L51" s="1">
        <f>'9.9.1.8'!$G47</f>
        <v>27.570423000000002</v>
      </c>
      <c r="M51" s="3">
        <f t="shared" si="14"/>
        <v>34.606231000000001</v>
      </c>
      <c r="N51" s="3" t="str">
        <f t="shared" si="8"/>
        <v/>
      </c>
      <c r="O51" s="1">
        <f>'11.4'!$E47</f>
        <v>6.5429190000000004</v>
      </c>
      <c r="P51" s="1">
        <f>'11.4'!$G47</f>
        <v>27.995127</v>
      </c>
      <c r="Q51" s="3">
        <f t="shared" si="15"/>
        <v>34.538046000000001</v>
      </c>
      <c r="R51" s="3" t="str">
        <f t="shared" si="10"/>
        <v/>
      </c>
      <c r="T51" s="1">
        <f t="shared" si="16"/>
        <v>33.237435999999995</v>
      </c>
      <c r="U51" s="1">
        <f t="shared" si="17"/>
        <v>36.318129999999996</v>
      </c>
      <c r="V51" s="1">
        <f t="shared" si="18"/>
        <v>34.674960750000004</v>
      </c>
    </row>
    <row r="52" spans="1:22" x14ac:dyDescent="0.2">
      <c r="A52" t="str">
        <f>'9.7.0.18'!$H48</f>
        <v>av-mp-va-tst-9-3-afleverlocatie-v20.xml</v>
      </c>
      <c r="B52" s="5">
        <f>'9.7.0.18'!$C48</f>
        <v>10484</v>
      </c>
      <c r="C52" s="1">
        <f>'9.7.0.18'!$E48</f>
        <v>7.8057829999999999</v>
      </c>
      <c r="D52" s="1">
        <f>'9.7.0.18'!$G48</f>
        <v>30.38137</v>
      </c>
      <c r="E52" s="3">
        <f t="shared" ref="E52" si="19">C52+D52</f>
        <v>38.187153000000002</v>
      </c>
      <c r="F52" s="3" t="str">
        <f t="shared" si="12"/>
        <v/>
      </c>
      <c r="G52" s="1">
        <f>'9.8.0.15'!$E48</f>
        <v>7.2224640000000004</v>
      </c>
      <c r="H52" s="1">
        <f>'9.8.0.15'!$G48</f>
        <v>33.267916999999997</v>
      </c>
      <c r="I52" s="3">
        <f t="shared" ref="I52" si="20">G52+H52</f>
        <v>40.490380999999999</v>
      </c>
      <c r="J52" s="3" t="str">
        <f t="shared" si="6"/>
        <v>H</v>
      </c>
      <c r="K52" s="1">
        <f>'9.9.1.8'!$E48</f>
        <v>7.6783520000000003</v>
      </c>
      <c r="L52" s="1">
        <f>'9.9.1.8'!$G48</f>
        <v>26.088477000000001</v>
      </c>
      <c r="M52" s="3">
        <f t="shared" ref="M52" si="21">K52+L52</f>
        <v>33.766829000000001</v>
      </c>
      <c r="N52" s="3" t="str">
        <f t="shared" si="8"/>
        <v>L</v>
      </c>
      <c r="O52" s="1">
        <f>'11.4'!$E48</f>
        <v>7.1449410000000002</v>
      </c>
      <c r="P52" s="1">
        <f>'11.4'!$G48</f>
        <v>28.271982000000001</v>
      </c>
      <c r="Q52" s="3">
        <f t="shared" ref="Q52" si="22">O52+P52</f>
        <v>35.416923000000004</v>
      </c>
      <c r="R52" s="3" t="str">
        <f t="shared" si="10"/>
        <v/>
      </c>
      <c r="T52" s="1">
        <f t="shared" si="16"/>
        <v>33.766829000000001</v>
      </c>
      <c r="U52" s="1">
        <f t="shared" si="17"/>
        <v>40.490380999999999</v>
      </c>
      <c r="V52" s="1">
        <f t="shared" si="18"/>
        <v>36.965321500000002</v>
      </c>
    </row>
    <row r="53" spans="1:22" x14ac:dyDescent="0.2">
      <c r="B53" s="4"/>
    </row>
    <row r="54" spans="1:22" x14ac:dyDescent="0.2">
      <c r="B54" s="4"/>
    </row>
    <row r="55" spans="1:22" x14ac:dyDescent="0.2">
      <c r="A55" t="s">
        <v>42</v>
      </c>
      <c r="B55" s="4" t="str">
        <f>IF(E55=MAX(E55,I55,M55,Q55),C3,IF(I55=MAX(E55,I55,M55,Q55),G3,IF(M55=MAX(E55,I55,M55,Q55),K3,IF(Q55=MAX(E55,I55,M55,Q55),O3,"meerdere versies"))))</f>
        <v>saxon 9.9.1.8</v>
      </c>
      <c r="E55" s="2">
        <f>COUNTIF(F5:F53,"L")</f>
        <v>15</v>
      </c>
      <c r="I55" s="2">
        <f>COUNTIF(J5:J53,"L")</f>
        <v>5</v>
      </c>
      <c r="M55" s="2">
        <f>COUNTIF(N5:N53,"L")</f>
        <v>16</v>
      </c>
      <c r="Q55" s="2">
        <f>COUNTIF(R5:R53,"L")</f>
        <v>12</v>
      </c>
    </row>
    <row r="56" spans="1:22" x14ac:dyDescent="0.2">
      <c r="A56" t="s">
        <v>43</v>
      </c>
      <c r="B56" s="4" t="str">
        <f>IF(E55=MIN(E55,I55,M55,Q55),C3,IF(I55=MIN(E55,I55,M55,Q55),G3,IF(M55=MIN(E55,I55,M55,Q55),K3,IF(Q55=MIN(E55,I55,M55,Q55),O3,"meerdere versies"))))</f>
        <v>saxon 9.8.0.15</v>
      </c>
      <c r="E56" s="2">
        <f>COUNTIF(F5:F53,"H")</f>
        <v>8</v>
      </c>
      <c r="I56" s="2">
        <f>COUNTIF(J5:J53,"H")</f>
        <v>18</v>
      </c>
      <c r="M56" s="2">
        <f>COUNTIF(N5:N53,"H")</f>
        <v>10</v>
      </c>
      <c r="Q56" s="2">
        <f>COUNTIF(R5:R53,"H")</f>
        <v>12</v>
      </c>
    </row>
    <row r="57" spans="1:22" x14ac:dyDescent="0.2">
      <c r="B57" s="4"/>
    </row>
    <row r="58" spans="1:22" x14ac:dyDescent="0.2">
      <c r="A58" t="s">
        <v>9</v>
      </c>
      <c r="E58" s="3">
        <f>AVERAGE(E5:E21)</f>
        <v>36.783562705882353</v>
      </c>
      <c r="I58" s="3">
        <f>AVERAGE(I5:I21)</f>
        <v>35.887412999999995</v>
      </c>
      <c r="M58" s="3">
        <f>AVERAGE(M5:M21)</f>
        <v>38.096727235294125</v>
      </c>
      <c r="Q58" s="3">
        <f>AVERAGE(Q5:Q21)</f>
        <v>35.607166176470585</v>
      </c>
    </row>
    <row r="60" spans="1:22" x14ac:dyDescent="0.2">
      <c r="B60" s="4"/>
    </row>
    <row r="61" spans="1:22" x14ac:dyDescent="0.2">
      <c r="B61" s="4"/>
    </row>
    <row r="62" spans="1:22" x14ac:dyDescent="0.2">
      <c r="B62" s="4"/>
    </row>
  </sheetData>
  <autoFilter ref="A4:V4" xr:uid="{759B4D22-7663-FC41-95B4-410684CE73EE}">
    <sortState xmlns:xlrd2="http://schemas.microsoft.com/office/spreadsheetml/2017/richdata2" ref="A5:V53">
      <sortCondition ref="V4:V53"/>
    </sortState>
  </autoFilter>
  <conditionalFormatting sqref="E5:F52 I5:J52 M5:N52 Q5:R52">
    <cfRule type="expression" dxfId="1" priority="20" stopIfTrue="1">
      <formula>IF(E5=$T5,TRUE,FALSE)</formula>
    </cfRule>
    <cfRule type="expression" dxfId="0" priority="21" stopIfTrue="1">
      <formula>IF(E5=$U5,TRUE,FALSE)</formula>
    </cfRule>
  </conditionalFormatting>
  <conditionalFormatting sqref="V5:V52">
    <cfRule type="colorScale" priority="57">
      <colorScale>
        <cfvo type="min"/>
        <cfvo type="percentile" val="50"/>
        <cfvo type="max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40</v>
      </c>
    </row>
    <row r="2" spans="1:1" x14ac:dyDescent="0.2">
      <c r="A2" s="2"/>
    </row>
    <row r="3" spans="1:1" x14ac:dyDescent="0.2">
      <c r="A3" s="4" t="s">
        <v>32</v>
      </c>
    </row>
    <row r="4" spans="1:1" x14ac:dyDescent="0.2">
      <c r="A4" s="4" t="s">
        <v>39</v>
      </c>
    </row>
    <row r="5" spans="1:1" x14ac:dyDescent="0.2">
      <c r="A5" s="4" t="s">
        <v>27</v>
      </c>
    </row>
    <row r="6" spans="1:1" x14ac:dyDescent="0.2">
      <c r="A6" s="4" t="s">
        <v>28</v>
      </c>
    </row>
    <row r="7" spans="1:1" x14ac:dyDescent="0.2">
      <c r="A7" s="4" t="s">
        <v>29</v>
      </c>
    </row>
    <row r="8" spans="1:1" x14ac:dyDescent="0.2">
      <c r="A8" s="4" t="s">
        <v>12</v>
      </c>
    </row>
    <row r="9" spans="1:1" x14ac:dyDescent="0.2">
      <c r="A9" s="4" t="s">
        <v>30</v>
      </c>
    </row>
    <row r="10" spans="1:1" x14ac:dyDescent="0.2">
      <c r="A10" s="4" t="s">
        <v>31</v>
      </c>
    </row>
    <row r="11" spans="1:1" x14ac:dyDescent="0.2">
      <c r="A11" s="4" t="s">
        <v>13</v>
      </c>
    </row>
    <row r="12" spans="1:1" x14ac:dyDescent="0.2">
      <c r="A12" s="4" t="s">
        <v>14</v>
      </c>
    </row>
    <row r="13" spans="1:1" x14ac:dyDescent="0.2">
      <c r="A13" s="4" t="s">
        <v>34</v>
      </c>
    </row>
    <row r="14" spans="1:1" x14ac:dyDescent="0.2">
      <c r="A14" s="4" t="s">
        <v>15</v>
      </c>
    </row>
    <row r="15" spans="1:1" x14ac:dyDescent="0.2">
      <c r="A15" s="4" t="s">
        <v>16</v>
      </c>
    </row>
    <row r="16" spans="1:1" x14ac:dyDescent="0.2">
      <c r="A16" s="4" t="s">
        <v>17</v>
      </c>
    </row>
    <row r="17" spans="1:1" x14ac:dyDescent="0.2">
      <c r="A17" s="4" t="s">
        <v>18</v>
      </c>
    </row>
    <row r="19" spans="1:1" ht="21" x14ac:dyDescent="0.25">
      <c r="A19" s="6" t="s">
        <v>41</v>
      </c>
    </row>
    <row r="20" spans="1:1" x14ac:dyDescent="0.2">
      <c r="A20" s="4" t="s">
        <v>35</v>
      </c>
    </row>
    <row r="21" spans="1:1" x14ac:dyDescent="0.2">
      <c r="A21" s="4" t="s">
        <v>36</v>
      </c>
    </row>
    <row r="22" spans="1:1" x14ac:dyDescent="0.2">
      <c r="A22" s="4" t="s">
        <v>37</v>
      </c>
    </row>
    <row r="23" spans="1:1" x14ac:dyDescent="0.2">
      <c r="A23" s="4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48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54.6640625" bestFit="1" customWidth="1"/>
  </cols>
  <sheetData>
    <row r="1" spans="1:10" x14ac:dyDescent="0.2">
      <c r="A1" t="s">
        <v>19</v>
      </c>
      <c r="B1" t="s">
        <v>20</v>
      </c>
      <c r="C1">
        <v>9651</v>
      </c>
      <c r="D1" t="s">
        <v>0</v>
      </c>
      <c r="E1">
        <v>8.8379910000000006</v>
      </c>
      <c r="F1" t="s">
        <v>1</v>
      </c>
      <c r="G1">
        <v>32.122230000000002</v>
      </c>
      <c r="H1" t="s">
        <v>45</v>
      </c>
      <c r="I1" t="s">
        <v>46</v>
      </c>
      <c r="J1" t="s">
        <v>44</v>
      </c>
    </row>
    <row r="2" spans="1:10" x14ac:dyDescent="0.2">
      <c r="A2" t="s">
        <v>19</v>
      </c>
      <c r="B2" t="s">
        <v>20</v>
      </c>
      <c r="C2">
        <v>9631</v>
      </c>
      <c r="D2" t="s">
        <v>0</v>
      </c>
      <c r="E2">
        <v>7.1604210000000004</v>
      </c>
      <c r="F2" t="s">
        <v>1</v>
      </c>
      <c r="G2">
        <v>29.362313</v>
      </c>
      <c r="H2" t="s">
        <v>47</v>
      </c>
      <c r="I2" t="s">
        <v>46</v>
      </c>
      <c r="J2" t="s">
        <v>44</v>
      </c>
    </row>
    <row r="3" spans="1:10" x14ac:dyDescent="0.2">
      <c r="A3" t="s">
        <v>19</v>
      </c>
      <c r="B3" t="s">
        <v>20</v>
      </c>
      <c r="C3">
        <v>9649</v>
      </c>
      <c r="D3" t="s">
        <v>0</v>
      </c>
      <c r="E3">
        <v>8.2446819999999992</v>
      </c>
      <c r="F3" t="s">
        <v>1</v>
      </c>
      <c r="G3">
        <v>28.346554999999999</v>
      </c>
      <c r="H3" t="s">
        <v>48</v>
      </c>
      <c r="I3" t="s">
        <v>46</v>
      </c>
      <c r="J3" t="s">
        <v>44</v>
      </c>
    </row>
    <row r="4" spans="1:10" x14ac:dyDescent="0.2">
      <c r="A4" t="s">
        <v>19</v>
      </c>
      <c r="B4" t="s">
        <v>20</v>
      </c>
      <c r="C4">
        <v>9673</v>
      </c>
      <c r="D4" t="s">
        <v>0</v>
      </c>
      <c r="E4">
        <v>8.1502189999999999</v>
      </c>
      <c r="F4" t="s">
        <v>1</v>
      </c>
      <c r="G4">
        <v>28.525192000000001</v>
      </c>
      <c r="H4" t="s">
        <v>49</v>
      </c>
      <c r="I4" t="s">
        <v>46</v>
      </c>
      <c r="J4" t="s">
        <v>44</v>
      </c>
    </row>
    <row r="5" spans="1:10" x14ac:dyDescent="0.2">
      <c r="A5" t="s">
        <v>19</v>
      </c>
      <c r="B5" t="s">
        <v>20</v>
      </c>
      <c r="C5">
        <v>9709</v>
      </c>
      <c r="D5" t="s">
        <v>0</v>
      </c>
      <c r="E5">
        <v>12.229324</v>
      </c>
      <c r="F5" t="s">
        <v>1</v>
      </c>
      <c r="G5">
        <v>28.972975999999999</v>
      </c>
      <c r="H5" t="s">
        <v>50</v>
      </c>
      <c r="I5" t="s">
        <v>46</v>
      </c>
      <c r="J5" t="s">
        <v>44</v>
      </c>
    </row>
    <row r="6" spans="1:10" x14ac:dyDescent="0.2">
      <c r="A6" t="s">
        <v>19</v>
      </c>
      <c r="B6" t="s">
        <v>20</v>
      </c>
      <c r="C6">
        <v>9735</v>
      </c>
      <c r="D6" t="s">
        <v>0</v>
      </c>
      <c r="E6">
        <v>7.8817740000000001</v>
      </c>
      <c r="F6" t="s">
        <v>1</v>
      </c>
      <c r="G6">
        <v>29.368884999999999</v>
      </c>
      <c r="H6" t="s">
        <v>51</v>
      </c>
      <c r="I6" t="s">
        <v>46</v>
      </c>
      <c r="J6" t="s">
        <v>44</v>
      </c>
    </row>
    <row r="7" spans="1:10" x14ac:dyDescent="0.2">
      <c r="A7" t="s">
        <v>19</v>
      </c>
      <c r="B7" t="s">
        <v>20</v>
      </c>
      <c r="C7">
        <v>9671</v>
      </c>
      <c r="D7" t="s">
        <v>0</v>
      </c>
      <c r="E7">
        <v>7.4670050000000003</v>
      </c>
      <c r="F7" t="s">
        <v>1</v>
      </c>
      <c r="G7">
        <v>31.895565000000001</v>
      </c>
      <c r="H7" t="s">
        <v>52</v>
      </c>
      <c r="I7" t="s">
        <v>46</v>
      </c>
      <c r="J7" t="s">
        <v>44</v>
      </c>
    </row>
    <row r="8" spans="1:10" x14ac:dyDescent="0.2">
      <c r="A8" t="s">
        <v>19</v>
      </c>
      <c r="B8" t="s">
        <v>20</v>
      </c>
      <c r="C8">
        <v>10239</v>
      </c>
      <c r="D8" t="s">
        <v>0</v>
      </c>
      <c r="E8">
        <v>8.4774419999999999</v>
      </c>
      <c r="F8" t="s">
        <v>1</v>
      </c>
      <c r="G8">
        <v>27.129798999999998</v>
      </c>
      <c r="H8" t="s">
        <v>53</v>
      </c>
      <c r="I8" t="s">
        <v>46</v>
      </c>
      <c r="J8" t="s">
        <v>44</v>
      </c>
    </row>
    <row r="9" spans="1:10" x14ac:dyDescent="0.2">
      <c r="A9" t="s">
        <v>19</v>
      </c>
      <c r="B9" t="s">
        <v>20</v>
      </c>
      <c r="C9">
        <v>8848</v>
      </c>
      <c r="D9" t="s">
        <v>0</v>
      </c>
      <c r="E9">
        <v>6.7812979999999996</v>
      </c>
      <c r="F9" t="s">
        <v>1</v>
      </c>
      <c r="G9">
        <v>25.329433999999999</v>
      </c>
      <c r="H9" t="s">
        <v>54</v>
      </c>
      <c r="I9" t="s">
        <v>46</v>
      </c>
      <c r="J9" t="s">
        <v>44</v>
      </c>
    </row>
    <row r="10" spans="1:10" x14ac:dyDescent="0.2">
      <c r="A10" t="s">
        <v>19</v>
      </c>
      <c r="B10" t="s">
        <v>20</v>
      </c>
      <c r="C10">
        <v>10119</v>
      </c>
      <c r="D10" t="s">
        <v>0</v>
      </c>
      <c r="E10">
        <v>7.9238140000000001</v>
      </c>
      <c r="F10" t="s">
        <v>1</v>
      </c>
      <c r="G10">
        <v>32.351387000000003</v>
      </c>
      <c r="H10" t="s">
        <v>55</v>
      </c>
      <c r="I10" t="s">
        <v>46</v>
      </c>
      <c r="J10" t="s">
        <v>44</v>
      </c>
    </row>
    <row r="11" spans="1:10" x14ac:dyDescent="0.2">
      <c r="A11" t="s">
        <v>19</v>
      </c>
      <c r="B11" t="s">
        <v>20</v>
      </c>
      <c r="C11">
        <v>10624</v>
      </c>
      <c r="D11" t="s">
        <v>0</v>
      </c>
      <c r="E11">
        <v>8.0351440000000007</v>
      </c>
      <c r="F11" t="s">
        <v>1</v>
      </c>
      <c r="G11">
        <v>27.180893000000001</v>
      </c>
      <c r="H11" t="s">
        <v>56</v>
      </c>
      <c r="I11" t="s">
        <v>46</v>
      </c>
      <c r="J11" t="s">
        <v>44</v>
      </c>
    </row>
    <row r="12" spans="1:10" x14ac:dyDescent="0.2">
      <c r="A12" t="s">
        <v>19</v>
      </c>
      <c r="B12" t="s">
        <v>20</v>
      </c>
      <c r="C12">
        <v>9701</v>
      </c>
      <c r="D12" t="s">
        <v>0</v>
      </c>
      <c r="E12">
        <v>9.5069700000000008</v>
      </c>
      <c r="F12" t="s">
        <v>1</v>
      </c>
      <c r="G12">
        <v>27.793695</v>
      </c>
      <c r="H12" t="s">
        <v>57</v>
      </c>
      <c r="I12" t="s">
        <v>46</v>
      </c>
      <c r="J12" t="s">
        <v>44</v>
      </c>
    </row>
    <row r="13" spans="1:10" x14ac:dyDescent="0.2">
      <c r="A13" t="s">
        <v>19</v>
      </c>
      <c r="B13" t="s">
        <v>20</v>
      </c>
      <c r="C13">
        <v>10206</v>
      </c>
      <c r="D13" t="s">
        <v>0</v>
      </c>
      <c r="E13">
        <v>7.9669639999999999</v>
      </c>
      <c r="F13" t="s">
        <v>1</v>
      </c>
      <c r="G13">
        <v>28.705625000000001</v>
      </c>
      <c r="H13" t="s">
        <v>58</v>
      </c>
      <c r="I13" t="s">
        <v>46</v>
      </c>
      <c r="J13" t="s">
        <v>44</v>
      </c>
    </row>
    <row r="14" spans="1:10" x14ac:dyDescent="0.2">
      <c r="A14" t="s">
        <v>19</v>
      </c>
      <c r="B14" t="s">
        <v>20</v>
      </c>
      <c r="C14">
        <v>10581</v>
      </c>
      <c r="D14" t="s">
        <v>0</v>
      </c>
      <c r="E14">
        <v>7.9473700000000003</v>
      </c>
      <c r="F14" t="s">
        <v>1</v>
      </c>
      <c r="G14">
        <v>27.24493</v>
      </c>
      <c r="H14" t="s">
        <v>59</v>
      </c>
      <c r="I14" t="s">
        <v>46</v>
      </c>
      <c r="J14" t="s">
        <v>44</v>
      </c>
    </row>
    <row r="15" spans="1:10" x14ac:dyDescent="0.2">
      <c r="A15" t="s">
        <v>19</v>
      </c>
      <c r="B15" t="s">
        <v>20</v>
      </c>
      <c r="C15">
        <v>9715</v>
      </c>
      <c r="D15" t="s">
        <v>0</v>
      </c>
      <c r="E15">
        <v>7.8491660000000003</v>
      </c>
      <c r="F15" t="s">
        <v>1</v>
      </c>
      <c r="G15">
        <v>31.927852999999999</v>
      </c>
      <c r="H15" t="s">
        <v>60</v>
      </c>
      <c r="I15" t="s">
        <v>46</v>
      </c>
      <c r="J15" t="s">
        <v>44</v>
      </c>
    </row>
    <row r="16" spans="1:10" x14ac:dyDescent="0.2">
      <c r="A16" t="s">
        <v>19</v>
      </c>
      <c r="B16" t="s">
        <v>20</v>
      </c>
      <c r="C16">
        <v>6955</v>
      </c>
      <c r="D16" t="s">
        <v>0</v>
      </c>
      <c r="E16">
        <v>6.2250110000000003</v>
      </c>
      <c r="F16" t="s">
        <v>1</v>
      </c>
      <c r="G16">
        <v>22.243548000000001</v>
      </c>
      <c r="H16" t="s">
        <v>61</v>
      </c>
      <c r="I16" t="s">
        <v>46</v>
      </c>
      <c r="J16" t="s">
        <v>44</v>
      </c>
    </row>
    <row r="17" spans="1:10" x14ac:dyDescent="0.2">
      <c r="A17" t="s">
        <v>19</v>
      </c>
      <c r="B17" t="s">
        <v>20</v>
      </c>
      <c r="C17">
        <v>9709</v>
      </c>
      <c r="D17" t="s">
        <v>0</v>
      </c>
      <c r="E17">
        <v>6.9260000000000002</v>
      </c>
      <c r="F17" t="s">
        <v>1</v>
      </c>
      <c r="G17">
        <v>29.209091000000001</v>
      </c>
      <c r="H17" t="s">
        <v>62</v>
      </c>
      <c r="I17" t="s">
        <v>46</v>
      </c>
      <c r="J17" t="s">
        <v>44</v>
      </c>
    </row>
    <row r="18" spans="1:10" x14ac:dyDescent="0.2">
      <c r="A18" t="s">
        <v>19</v>
      </c>
      <c r="B18" t="s">
        <v>20</v>
      </c>
      <c r="C18">
        <v>15245</v>
      </c>
      <c r="D18" t="s">
        <v>0</v>
      </c>
      <c r="E18">
        <v>10.916421</v>
      </c>
      <c r="F18" t="s">
        <v>1</v>
      </c>
      <c r="G18">
        <v>37.241874000000003</v>
      </c>
      <c r="H18" t="s">
        <v>63</v>
      </c>
      <c r="I18" t="s">
        <v>46</v>
      </c>
      <c r="J18" t="s">
        <v>44</v>
      </c>
    </row>
    <row r="19" spans="1:10" x14ac:dyDescent="0.2">
      <c r="A19" t="s">
        <v>19</v>
      </c>
      <c r="B19" t="s">
        <v>20</v>
      </c>
      <c r="C19">
        <v>9494</v>
      </c>
      <c r="D19" t="s">
        <v>0</v>
      </c>
      <c r="E19">
        <v>7.7898170000000002</v>
      </c>
      <c r="F19" t="s">
        <v>1</v>
      </c>
      <c r="G19">
        <v>27.274975000000001</v>
      </c>
      <c r="H19" t="s">
        <v>64</v>
      </c>
      <c r="I19" t="s">
        <v>46</v>
      </c>
      <c r="J19" t="s">
        <v>44</v>
      </c>
    </row>
    <row r="20" spans="1:10" x14ac:dyDescent="0.2">
      <c r="A20" t="s">
        <v>19</v>
      </c>
      <c r="B20" t="s">
        <v>20</v>
      </c>
      <c r="C20">
        <v>11867</v>
      </c>
      <c r="D20" t="s">
        <v>0</v>
      </c>
      <c r="E20">
        <v>8.0439779999999992</v>
      </c>
      <c r="F20" t="s">
        <v>1</v>
      </c>
      <c r="G20">
        <v>30.936979999999998</v>
      </c>
      <c r="H20" t="s">
        <v>65</v>
      </c>
      <c r="I20" t="s">
        <v>46</v>
      </c>
      <c r="J20" t="s">
        <v>44</v>
      </c>
    </row>
    <row r="21" spans="1:10" x14ac:dyDescent="0.2">
      <c r="A21" t="s">
        <v>19</v>
      </c>
      <c r="B21" t="s">
        <v>20</v>
      </c>
      <c r="C21">
        <v>9687</v>
      </c>
      <c r="D21" t="s">
        <v>0</v>
      </c>
      <c r="E21">
        <v>6.8519319999999997</v>
      </c>
      <c r="F21" t="s">
        <v>1</v>
      </c>
      <c r="G21">
        <v>22.20579</v>
      </c>
      <c r="H21" t="s">
        <v>66</v>
      </c>
      <c r="I21" t="s">
        <v>46</v>
      </c>
      <c r="J21" t="s">
        <v>44</v>
      </c>
    </row>
    <row r="22" spans="1:10" x14ac:dyDescent="0.2">
      <c r="A22" t="s">
        <v>19</v>
      </c>
      <c r="B22" t="s">
        <v>20</v>
      </c>
      <c r="C22">
        <v>6970</v>
      </c>
      <c r="D22" t="s">
        <v>0</v>
      </c>
      <c r="E22">
        <v>6.7685040000000001</v>
      </c>
      <c r="F22" t="s">
        <v>1</v>
      </c>
      <c r="G22">
        <v>22.393685999999999</v>
      </c>
      <c r="H22" t="s">
        <v>67</v>
      </c>
      <c r="I22" t="s">
        <v>46</v>
      </c>
      <c r="J22" t="s">
        <v>44</v>
      </c>
    </row>
    <row r="23" spans="1:10" x14ac:dyDescent="0.2">
      <c r="A23" t="s">
        <v>19</v>
      </c>
      <c r="B23" t="s">
        <v>20</v>
      </c>
      <c r="C23">
        <v>9692</v>
      </c>
      <c r="D23" t="s">
        <v>0</v>
      </c>
      <c r="E23">
        <v>7.1799569999999999</v>
      </c>
      <c r="F23" t="s">
        <v>1</v>
      </c>
      <c r="G23">
        <v>22.366978</v>
      </c>
      <c r="H23" t="s">
        <v>68</v>
      </c>
      <c r="I23" t="s">
        <v>46</v>
      </c>
      <c r="J23" t="s">
        <v>44</v>
      </c>
    </row>
    <row r="24" spans="1:10" x14ac:dyDescent="0.2">
      <c r="A24" t="s">
        <v>19</v>
      </c>
      <c r="B24" t="s">
        <v>20</v>
      </c>
      <c r="C24">
        <v>15594</v>
      </c>
      <c r="D24" t="s">
        <v>0</v>
      </c>
      <c r="E24">
        <v>8.3447259999999996</v>
      </c>
      <c r="F24" t="s">
        <v>1</v>
      </c>
      <c r="G24">
        <v>39.977592000000001</v>
      </c>
      <c r="H24" t="s">
        <v>69</v>
      </c>
      <c r="I24" t="s">
        <v>46</v>
      </c>
      <c r="J24" t="s">
        <v>44</v>
      </c>
    </row>
    <row r="25" spans="1:10" x14ac:dyDescent="0.2">
      <c r="A25" t="s">
        <v>19</v>
      </c>
      <c r="B25" t="s">
        <v>20</v>
      </c>
      <c r="C25">
        <v>9743</v>
      </c>
      <c r="D25" t="s">
        <v>0</v>
      </c>
      <c r="E25">
        <v>6.9338129999999998</v>
      </c>
      <c r="F25" t="s">
        <v>1</v>
      </c>
      <c r="G25">
        <v>28.704422000000001</v>
      </c>
      <c r="H25" t="s">
        <v>70</v>
      </c>
      <c r="I25" t="s">
        <v>46</v>
      </c>
      <c r="J25" t="s">
        <v>44</v>
      </c>
    </row>
    <row r="26" spans="1:10" x14ac:dyDescent="0.2">
      <c r="A26" t="s">
        <v>19</v>
      </c>
      <c r="B26" t="s">
        <v>20</v>
      </c>
      <c r="C26">
        <v>10137</v>
      </c>
      <c r="D26" t="s">
        <v>0</v>
      </c>
      <c r="E26">
        <v>7.0598859999999997</v>
      </c>
      <c r="F26" t="s">
        <v>1</v>
      </c>
      <c r="G26">
        <v>31.750067000000001</v>
      </c>
      <c r="H26" t="s">
        <v>71</v>
      </c>
      <c r="I26" t="s">
        <v>46</v>
      </c>
      <c r="J26" t="s">
        <v>44</v>
      </c>
    </row>
    <row r="27" spans="1:10" x14ac:dyDescent="0.2">
      <c r="A27" t="s">
        <v>19</v>
      </c>
      <c r="B27" t="s">
        <v>20</v>
      </c>
      <c r="C27">
        <v>12737</v>
      </c>
      <c r="D27" t="s">
        <v>0</v>
      </c>
      <c r="E27">
        <v>7.737787</v>
      </c>
      <c r="F27" t="s">
        <v>1</v>
      </c>
      <c r="G27">
        <v>30.221167000000001</v>
      </c>
      <c r="H27" t="s">
        <v>72</v>
      </c>
      <c r="I27" t="s">
        <v>46</v>
      </c>
      <c r="J27" t="s">
        <v>44</v>
      </c>
    </row>
    <row r="28" spans="1:10" x14ac:dyDescent="0.2">
      <c r="A28" t="s">
        <v>19</v>
      </c>
      <c r="B28" t="s">
        <v>20</v>
      </c>
      <c r="C28">
        <v>10691</v>
      </c>
      <c r="D28" t="s">
        <v>0</v>
      </c>
      <c r="E28">
        <v>7.3376549999999998</v>
      </c>
      <c r="F28" t="s">
        <v>1</v>
      </c>
      <c r="G28">
        <v>32.032491</v>
      </c>
      <c r="H28" t="s">
        <v>73</v>
      </c>
      <c r="I28" t="s">
        <v>46</v>
      </c>
      <c r="J28" t="s">
        <v>44</v>
      </c>
    </row>
    <row r="29" spans="1:10" x14ac:dyDescent="0.2">
      <c r="A29" t="s">
        <v>19</v>
      </c>
      <c r="B29" t="s">
        <v>20</v>
      </c>
      <c r="C29">
        <v>9226</v>
      </c>
      <c r="D29" t="s">
        <v>0</v>
      </c>
      <c r="E29">
        <v>8.5367149999999992</v>
      </c>
      <c r="F29" t="s">
        <v>1</v>
      </c>
      <c r="G29">
        <v>30.492584000000001</v>
      </c>
      <c r="H29" t="s">
        <v>74</v>
      </c>
      <c r="I29" t="s">
        <v>46</v>
      </c>
      <c r="J29" t="s">
        <v>44</v>
      </c>
    </row>
    <row r="30" spans="1:10" x14ac:dyDescent="0.2">
      <c r="A30" t="s">
        <v>19</v>
      </c>
      <c r="B30" t="s">
        <v>20</v>
      </c>
      <c r="C30">
        <v>9849</v>
      </c>
      <c r="D30" t="s">
        <v>0</v>
      </c>
      <c r="E30">
        <v>7.2828790000000003</v>
      </c>
      <c r="F30" t="s">
        <v>1</v>
      </c>
      <c r="G30">
        <v>28.288312999999999</v>
      </c>
      <c r="H30" t="s">
        <v>75</v>
      </c>
      <c r="I30" t="s">
        <v>46</v>
      </c>
      <c r="J30" t="s">
        <v>44</v>
      </c>
    </row>
    <row r="31" spans="1:10" x14ac:dyDescent="0.2">
      <c r="A31" t="s">
        <v>19</v>
      </c>
      <c r="B31" t="s">
        <v>20</v>
      </c>
      <c r="C31">
        <v>9886</v>
      </c>
      <c r="D31" t="s">
        <v>0</v>
      </c>
      <c r="E31">
        <v>7.8062579999999997</v>
      </c>
      <c r="F31" t="s">
        <v>1</v>
      </c>
      <c r="G31">
        <v>29.343295000000001</v>
      </c>
      <c r="H31" t="s">
        <v>76</v>
      </c>
      <c r="I31" t="s">
        <v>46</v>
      </c>
      <c r="J31" t="s">
        <v>44</v>
      </c>
    </row>
    <row r="32" spans="1:10" x14ac:dyDescent="0.2">
      <c r="A32" t="s">
        <v>19</v>
      </c>
      <c r="B32" t="s">
        <v>20</v>
      </c>
      <c r="C32">
        <v>9820</v>
      </c>
      <c r="D32" t="s">
        <v>0</v>
      </c>
      <c r="E32">
        <v>9.5060599999999997</v>
      </c>
      <c r="F32" t="s">
        <v>1</v>
      </c>
      <c r="G32">
        <v>26.709727000000001</v>
      </c>
      <c r="H32" t="s">
        <v>77</v>
      </c>
      <c r="I32" t="s">
        <v>46</v>
      </c>
      <c r="J32" t="s">
        <v>44</v>
      </c>
    </row>
    <row r="33" spans="1:10" x14ac:dyDescent="0.2">
      <c r="A33" t="s">
        <v>19</v>
      </c>
      <c r="B33" t="s">
        <v>20</v>
      </c>
      <c r="C33">
        <v>10073</v>
      </c>
      <c r="D33" t="s">
        <v>0</v>
      </c>
      <c r="E33">
        <v>7.7744450000000001</v>
      </c>
      <c r="F33" t="s">
        <v>1</v>
      </c>
      <c r="G33">
        <v>28.905380000000001</v>
      </c>
      <c r="H33" t="s">
        <v>78</v>
      </c>
      <c r="I33" t="s">
        <v>46</v>
      </c>
      <c r="J33" t="s">
        <v>44</v>
      </c>
    </row>
    <row r="34" spans="1:10" x14ac:dyDescent="0.2">
      <c r="A34" t="s">
        <v>19</v>
      </c>
      <c r="B34" t="s">
        <v>20</v>
      </c>
      <c r="C34">
        <v>9709</v>
      </c>
      <c r="D34" t="s">
        <v>0</v>
      </c>
      <c r="E34">
        <v>7.4940800000000003</v>
      </c>
      <c r="F34" t="s">
        <v>1</v>
      </c>
      <c r="G34">
        <v>29.319776999999998</v>
      </c>
      <c r="H34" t="s">
        <v>79</v>
      </c>
      <c r="I34" t="s">
        <v>46</v>
      </c>
      <c r="J34" t="s">
        <v>44</v>
      </c>
    </row>
    <row r="35" spans="1:10" x14ac:dyDescent="0.2">
      <c r="A35" t="s">
        <v>19</v>
      </c>
      <c r="B35" t="s">
        <v>20</v>
      </c>
      <c r="C35">
        <v>9675</v>
      </c>
      <c r="D35" t="s">
        <v>0</v>
      </c>
      <c r="E35">
        <v>8.2371700000000008</v>
      </c>
      <c r="F35" t="s">
        <v>1</v>
      </c>
      <c r="G35">
        <v>25.362090999999999</v>
      </c>
      <c r="H35" t="s">
        <v>80</v>
      </c>
      <c r="I35" t="s">
        <v>46</v>
      </c>
      <c r="J35" t="s">
        <v>44</v>
      </c>
    </row>
    <row r="36" spans="1:10" x14ac:dyDescent="0.2">
      <c r="A36" t="s">
        <v>19</v>
      </c>
      <c r="B36" t="s">
        <v>20</v>
      </c>
      <c r="C36">
        <v>11200</v>
      </c>
      <c r="D36" t="s">
        <v>0</v>
      </c>
      <c r="E36">
        <v>6.1502239999999997</v>
      </c>
      <c r="F36" t="s">
        <v>1</v>
      </c>
      <c r="G36">
        <v>28.198602999999999</v>
      </c>
      <c r="H36" t="s">
        <v>81</v>
      </c>
      <c r="I36" t="s">
        <v>46</v>
      </c>
      <c r="J36" t="s">
        <v>44</v>
      </c>
    </row>
    <row r="37" spans="1:10" x14ac:dyDescent="0.2">
      <c r="A37" t="s">
        <v>19</v>
      </c>
      <c r="B37" t="s">
        <v>20</v>
      </c>
      <c r="C37">
        <v>9906</v>
      </c>
      <c r="D37" t="s">
        <v>0</v>
      </c>
      <c r="E37">
        <v>6.3279629999999996</v>
      </c>
      <c r="F37" t="s">
        <v>1</v>
      </c>
      <c r="G37">
        <v>26.35313</v>
      </c>
      <c r="H37" t="s">
        <v>82</v>
      </c>
      <c r="I37" t="s">
        <v>46</v>
      </c>
      <c r="J37" t="s">
        <v>44</v>
      </c>
    </row>
    <row r="38" spans="1:10" x14ac:dyDescent="0.2">
      <c r="A38" t="s">
        <v>19</v>
      </c>
      <c r="B38" t="s">
        <v>20</v>
      </c>
      <c r="C38">
        <v>9524</v>
      </c>
      <c r="D38" t="s">
        <v>0</v>
      </c>
      <c r="E38">
        <v>6.9830389999999998</v>
      </c>
      <c r="F38" t="s">
        <v>1</v>
      </c>
      <c r="G38">
        <v>28.109757999999999</v>
      </c>
      <c r="H38" t="s">
        <v>83</v>
      </c>
      <c r="I38" t="s">
        <v>46</v>
      </c>
      <c r="J38" t="s">
        <v>44</v>
      </c>
    </row>
    <row r="39" spans="1:10" x14ac:dyDescent="0.2">
      <c r="A39" t="s">
        <v>19</v>
      </c>
      <c r="B39" t="s">
        <v>20</v>
      </c>
      <c r="C39">
        <v>10065</v>
      </c>
      <c r="D39" t="s">
        <v>0</v>
      </c>
      <c r="E39">
        <v>7.4427250000000003</v>
      </c>
      <c r="F39" t="s">
        <v>1</v>
      </c>
      <c r="G39">
        <v>26.351621999999999</v>
      </c>
      <c r="H39" t="s">
        <v>84</v>
      </c>
      <c r="I39" t="s">
        <v>46</v>
      </c>
      <c r="J39" t="s">
        <v>44</v>
      </c>
    </row>
    <row r="40" spans="1:10" x14ac:dyDescent="0.2">
      <c r="A40" t="s">
        <v>19</v>
      </c>
      <c r="B40" t="s">
        <v>20</v>
      </c>
      <c r="C40">
        <v>9456</v>
      </c>
      <c r="D40" t="s">
        <v>0</v>
      </c>
      <c r="E40">
        <v>7.2649369999999998</v>
      </c>
      <c r="F40" t="s">
        <v>1</v>
      </c>
      <c r="G40">
        <v>23.912766000000001</v>
      </c>
      <c r="H40" t="s">
        <v>85</v>
      </c>
      <c r="I40" t="s">
        <v>46</v>
      </c>
      <c r="J40" t="s">
        <v>44</v>
      </c>
    </row>
    <row r="41" spans="1:10" x14ac:dyDescent="0.2">
      <c r="A41" t="s">
        <v>19</v>
      </c>
      <c r="B41" t="s">
        <v>20</v>
      </c>
      <c r="C41">
        <v>14110</v>
      </c>
      <c r="D41" t="s">
        <v>0</v>
      </c>
      <c r="E41">
        <v>8.1180219999999998</v>
      </c>
      <c r="F41" t="s">
        <v>1</v>
      </c>
      <c r="G41">
        <v>27.642188999999998</v>
      </c>
      <c r="H41" t="s">
        <v>86</v>
      </c>
      <c r="I41" t="s">
        <v>46</v>
      </c>
      <c r="J41" t="s">
        <v>44</v>
      </c>
    </row>
    <row r="42" spans="1:10" x14ac:dyDescent="0.2">
      <c r="A42" t="s">
        <v>19</v>
      </c>
      <c r="B42" t="s">
        <v>20</v>
      </c>
      <c r="C42">
        <v>11120</v>
      </c>
      <c r="D42" t="s">
        <v>0</v>
      </c>
      <c r="E42">
        <v>7.7372230000000002</v>
      </c>
      <c r="F42" t="s">
        <v>1</v>
      </c>
      <c r="G42">
        <v>26.907247000000002</v>
      </c>
      <c r="H42" t="s">
        <v>87</v>
      </c>
      <c r="I42" t="s">
        <v>46</v>
      </c>
      <c r="J42" t="s">
        <v>44</v>
      </c>
    </row>
    <row r="43" spans="1:10" x14ac:dyDescent="0.2">
      <c r="A43" t="s">
        <v>19</v>
      </c>
      <c r="B43" t="s">
        <v>20</v>
      </c>
      <c r="C43">
        <v>11650</v>
      </c>
      <c r="D43" t="s">
        <v>0</v>
      </c>
      <c r="E43">
        <v>7.0727510000000002</v>
      </c>
      <c r="F43" t="s">
        <v>1</v>
      </c>
      <c r="G43">
        <v>28.153178</v>
      </c>
      <c r="H43" t="s">
        <v>88</v>
      </c>
      <c r="I43" t="s">
        <v>46</v>
      </c>
      <c r="J43" t="s">
        <v>44</v>
      </c>
    </row>
    <row r="44" spans="1:10" x14ac:dyDescent="0.2">
      <c r="A44" t="s">
        <v>19</v>
      </c>
      <c r="B44" t="s">
        <v>20</v>
      </c>
      <c r="C44">
        <v>9845</v>
      </c>
      <c r="D44" t="s">
        <v>0</v>
      </c>
      <c r="E44">
        <v>7.1784660000000002</v>
      </c>
      <c r="F44" t="s">
        <v>1</v>
      </c>
      <c r="G44">
        <v>33.102834999999999</v>
      </c>
      <c r="H44" t="s">
        <v>89</v>
      </c>
      <c r="I44" t="s">
        <v>46</v>
      </c>
      <c r="J44" t="s">
        <v>44</v>
      </c>
    </row>
    <row r="45" spans="1:10" x14ac:dyDescent="0.2">
      <c r="A45" t="s">
        <v>19</v>
      </c>
      <c r="B45" t="s">
        <v>20</v>
      </c>
      <c r="C45">
        <v>10507</v>
      </c>
      <c r="D45" t="s">
        <v>0</v>
      </c>
      <c r="E45">
        <v>7.1182129999999999</v>
      </c>
      <c r="F45" t="s">
        <v>1</v>
      </c>
      <c r="G45">
        <v>24.576384000000001</v>
      </c>
      <c r="H45" t="s">
        <v>90</v>
      </c>
      <c r="I45" t="s">
        <v>46</v>
      </c>
      <c r="J45" t="s">
        <v>44</v>
      </c>
    </row>
    <row r="46" spans="1:10" x14ac:dyDescent="0.2">
      <c r="A46" t="s">
        <v>19</v>
      </c>
      <c r="B46" t="s">
        <v>20</v>
      </c>
      <c r="C46">
        <v>9898</v>
      </c>
      <c r="D46" t="s">
        <v>0</v>
      </c>
      <c r="E46">
        <v>7.5247729999999997</v>
      </c>
      <c r="F46" t="s">
        <v>1</v>
      </c>
      <c r="G46">
        <v>37.243003000000002</v>
      </c>
      <c r="H46" t="s">
        <v>91</v>
      </c>
      <c r="I46" t="s">
        <v>46</v>
      </c>
      <c r="J46" t="s">
        <v>44</v>
      </c>
    </row>
    <row r="47" spans="1:10" x14ac:dyDescent="0.2">
      <c r="A47" t="s">
        <v>19</v>
      </c>
      <c r="B47" t="s">
        <v>20</v>
      </c>
      <c r="C47">
        <v>9572</v>
      </c>
      <c r="D47" t="s">
        <v>0</v>
      </c>
      <c r="E47">
        <v>6.5691119999999996</v>
      </c>
      <c r="F47" t="s">
        <v>1</v>
      </c>
      <c r="G47">
        <v>26.668323999999998</v>
      </c>
      <c r="H47" t="s">
        <v>92</v>
      </c>
      <c r="I47" t="s">
        <v>46</v>
      </c>
      <c r="J47" t="s">
        <v>44</v>
      </c>
    </row>
    <row r="48" spans="1:10" x14ac:dyDescent="0.2">
      <c r="A48" t="s">
        <v>19</v>
      </c>
      <c r="B48" t="s">
        <v>20</v>
      </c>
      <c r="C48">
        <v>10484</v>
      </c>
      <c r="D48" t="s">
        <v>0</v>
      </c>
      <c r="E48">
        <v>7.8057829999999999</v>
      </c>
      <c r="F48" t="s">
        <v>1</v>
      </c>
      <c r="G48">
        <v>30.38137</v>
      </c>
      <c r="H48" t="s">
        <v>93</v>
      </c>
      <c r="I48" t="s">
        <v>46</v>
      </c>
      <c r="J48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48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21</v>
      </c>
      <c r="B1" t="s">
        <v>20</v>
      </c>
      <c r="C1">
        <v>9651</v>
      </c>
      <c r="D1" t="s">
        <v>0</v>
      </c>
      <c r="E1">
        <v>7.457249</v>
      </c>
      <c r="F1" t="s">
        <v>1</v>
      </c>
      <c r="G1">
        <v>29.292607</v>
      </c>
      <c r="H1" t="s">
        <v>45</v>
      </c>
      <c r="I1" t="s">
        <v>46</v>
      </c>
      <c r="J1" t="s">
        <v>44</v>
      </c>
    </row>
    <row r="2" spans="1:10" x14ac:dyDescent="0.2">
      <c r="A2" t="s">
        <v>21</v>
      </c>
      <c r="B2" t="s">
        <v>20</v>
      </c>
      <c r="C2">
        <v>9631</v>
      </c>
      <c r="D2" t="s">
        <v>0</v>
      </c>
      <c r="E2">
        <v>7.5217520000000002</v>
      </c>
      <c r="F2" t="s">
        <v>1</v>
      </c>
      <c r="G2">
        <v>32.484099000000001</v>
      </c>
      <c r="H2" t="s">
        <v>47</v>
      </c>
      <c r="I2" t="s">
        <v>46</v>
      </c>
      <c r="J2" t="s">
        <v>44</v>
      </c>
    </row>
    <row r="3" spans="1:10" x14ac:dyDescent="0.2">
      <c r="A3" t="s">
        <v>21</v>
      </c>
      <c r="B3" t="s">
        <v>20</v>
      </c>
      <c r="C3">
        <v>9649</v>
      </c>
      <c r="D3" t="s">
        <v>0</v>
      </c>
      <c r="E3">
        <v>7.065817</v>
      </c>
      <c r="F3" t="s">
        <v>1</v>
      </c>
      <c r="G3">
        <v>28.594853000000001</v>
      </c>
      <c r="H3" t="s">
        <v>48</v>
      </c>
      <c r="I3" t="s">
        <v>46</v>
      </c>
      <c r="J3" t="s">
        <v>44</v>
      </c>
    </row>
    <row r="4" spans="1:10" x14ac:dyDescent="0.2">
      <c r="A4" t="s">
        <v>21</v>
      </c>
      <c r="B4" t="s">
        <v>20</v>
      </c>
      <c r="C4">
        <v>9673</v>
      </c>
      <c r="D4" t="s">
        <v>0</v>
      </c>
      <c r="E4">
        <v>7.5029279999999998</v>
      </c>
      <c r="F4" t="s">
        <v>1</v>
      </c>
      <c r="G4">
        <v>31.187930000000001</v>
      </c>
      <c r="H4" t="s">
        <v>49</v>
      </c>
      <c r="I4" t="s">
        <v>46</v>
      </c>
      <c r="J4" t="s">
        <v>44</v>
      </c>
    </row>
    <row r="5" spans="1:10" x14ac:dyDescent="0.2">
      <c r="A5" t="s">
        <v>21</v>
      </c>
      <c r="B5" t="s">
        <v>20</v>
      </c>
      <c r="C5">
        <v>9709</v>
      </c>
      <c r="D5" t="s">
        <v>0</v>
      </c>
      <c r="E5">
        <v>7.8868270000000003</v>
      </c>
      <c r="F5" t="s">
        <v>1</v>
      </c>
      <c r="G5">
        <v>32.056918000000003</v>
      </c>
      <c r="H5" t="s">
        <v>50</v>
      </c>
      <c r="I5" t="s">
        <v>46</v>
      </c>
      <c r="J5" t="s">
        <v>44</v>
      </c>
    </row>
    <row r="6" spans="1:10" x14ac:dyDescent="0.2">
      <c r="A6" t="s">
        <v>21</v>
      </c>
      <c r="B6" t="s">
        <v>20</v>
      </c>
      <c r="C6">
        <v>9735</v>
      </c>
      <c r="D6" t="s">
        <v>0</v>
      </c>
      <c r="E6">
        <v>7.8878349999999999</v>
      </c>
      <c r="F6" t="s">
        <v>1</v>
      </c>
      <c r="G6">
        <v>28.901567</v>
      </c>
      <c r="H6" t="s">
        <v>51</v>
      </c>
      <c r="I6" t="s">
        <v>46</v>
      </c>
      <c r="J6" t="s">
        <v>44</v>
      </c>
    </row>
    <row r="7" spans="1:10" x14ac:dyDescent="0.2">
      <c r="A7" t="s">
        <v>21</v>
      </c>
      <c r="B7" t="s">
        <v>20</v>
      </c>
      <c r="C7">
        <v>9671</v>
      </c>
      <c r="D7" t="s">
        <v>0</v>
      </c>
      <c r="E7">
        <v>8.2531320000000008</v>
      </c>
      <c r="F7" t="s">
        <v>1</v>
      </c>
      <c r="G7">
        <v>29.244980000000002</v>
      </c>
      <c r="H7" t="s">
        <v>52</v>
      </c>
      <c r="I7" t="s">
        <v>46</v>
      </c>
      <c r="J7" t="s">
        <v>44</v>
      </c>
    </row>
    <row r="8" spans="1:10" x14ac:dyDescent="0.2">
      <c r="A8" t="s">
        <v>21</v>
      </c>
      <c r="B8" t="s">
        <v>20</v>
      </c>
      <c r="C8">
        <v>10239</v>
      </c>
      <c r="D8" t="s">
        <v>0</v>
      </c>
      <c r="E8">
        <v>8.1614559999999994</v>
      </c>
      <c r="F8" t="s">
        <v>1</v>
      </c>
      <c r="G8">
        <v>27.056435</v>
      </c>
      <c r="H8" t="s">
        <v>53</v>
      </c>
      <c r="I8" t="s">
        <v>46</v>
      </c>
      <c r="J8" t="s">
        <v>44</v>
      </c>
    </row>
    <row r="9" spans="1:10" x14ac:dyDescent="0.2">
      <c r="A9" t="s">
        <v>21</v>
      </c>
      <c r="B9" t="s">
        <v>20</v>
      </c>
      <c r="C9">
        <v>8848</v>
      </c>
      <c r="D9" t="s">
        <v>0</v>
      </c>
      <c r="E9">
        <v>7.6161310000000002</v>
      </c>
      <c r="F9" t="s">
        <v>1</v>
      </c>
      <c r="G9">
        <v>27.138477999999999</v>
      </c>
      <c r="H9" t="s">
        <v>54</v>
      </c>
      <c r="I9" t="s">
        <v>46</v>
      </c>
      <c r="J9" t="s">
        <v>44</v>
      </c>
    </row>
    <row r="10" spans="1:10" x14ac:dyDescent="0.2">
      <c r="A10" t="s">
        <v>21</v>
      </c>
      <c r="B10" t="s">
        <v>20</v>
      </c>
      <c r="C10">
        <v>10119</v>
      </c>
      <c r="D10" t="s">
        <v>0</v>
      </c>
      <c r="E10">
        <v>9.0794200000000007</v>
      </c>
      <c r="F10" t="s">
        <v>1</v>
      </c>
      <c r="G10">
        <v>26.463439000000001</v>
      </c>
      <c r="H10" t="s">
        <v>55</v>
      </c>
      <c r="I10" t="s">
        <v>46</v>
      </c>
      <c r="J10" t="s">
        <v>44</v>
      </c>
    </row>
    <row r="11" spans="1:10" x14ac:dyDescent="0.2">
      <c r="A11" t="s">
        <v>21</v>
      </c>
      <c r="B11" t="s">
        <v>20</v>
      </c>
      <c r="C11">
        <v>10624</v>
      </c>
      <c r="D11" t="s">
        <v>0</v>
      </c>
      <c r="E11">
        <v>8.0901669999999992</v>
      </c>
      <c r="F11" t="s">
        <v>1</v>
      </c>
      <c r="G11">
        <v>27.432694999999999</v>
      </c>
      <c r="H11" t="s">
        <v>56</v>
      </c>
      <c r="I11" t="s">
        <v>46</v>
      </c>
      <c r="J11" t="s">
        <v>44</v>
      </c>
    </row>
    <row r="12" spans="1:10" x14ac:dyDescent="0.2">
      <c r="A12" t="s">
        <v>21</v>
      </c>
      <c r="B12" t="s">
        <v>20</v>
      </c>
      <c r="C12">
        <v>9701</v>
      </c>
      <c r="D12" t="s">
        <v>0</v>
      </c>
      <c r="E12">
        <v>7.2363549999999996</v>
      </c>
      <c r="F12" t="s">
        <v>1</v>
      </c>
      <c r="G12">
        <v>27.562467000000002</v>
      </c>
      <c r="H12" t="s">
        <v>57</v>
      </c>
      <c r="I12" t="s">
        <v>46</v>
      </c>
      <c r="J12" t="s">
        <v>44</v>
      </c>
    </row>
    <row r="13" spans="1:10" x14ac:dyDescent="0.2">
      <c r="A13" t="s">
        <v>21</v>
      </c>
      <c r="B13" t="s">
        <v>20</v>
      </c>
      <c r="C13">
        <v>10206</v>
      </c>
      <c r="D13" t="s">
        <v>0</v>
      </c>
      <c r="E13">
        <v>7.941173</v>
      </c>
      <c r="F13" t="s">
        <v>1</v>
      </c>
      <c r="G13">
        <v>28.802365999999999</v>
      </c>
      <c r="H13" t="s">
        <v>58</v>
      </c>
      <c r="I13" t="s">
        <v>46</v>
      </c>
      <c r="J13" t="s">
        <v>44</v>
      </c>
    </row>
    <row r="14" spans="1:10" x14ac:dyDescent="0.2">
      <c r="A14" t="s">
        <v>21</v>
      </c>
      <c r="B14" t="s">
        <v>20</v>
      </c>
      <c r="C14">
        <v>10581</v>
      </c>
      <c r="D14" t="s">
        <v>0</v>
      </c>
      <c r="E14">
        <v>7.9559879999999996</v>
      </c>
      <c r="F14" t="s">
        <v>1</v>
      </c>
      <c r="G14">
        <v>26.884471999999999</v>
      </c>
      <c r="H14" t="s">
        <v>59</v>
      </c>
      <c r="I14" t="s">
        <v>46</v>
      </c>
      <c r="J14" t="s">
        <v>44</v>
      </c>
    </row>
    <row r="15" spans="1:10" x14ac:dyDescent="0.2">
      <c r="A15" t="s">
        <v>21</v>
      </c>
      <c r="B15" t="s">
        <v>20</v>
      </c>
      <c r="C15">
        <v>9715</v>
      </c>
      <c r="D15" t="s">
        <v>0</v>
      </c>
      <c r="E15">
        <v>7.4701510000000004</v>
      </c>
      <c r="F15" t="s">
        <v>1</v>
      </c>
      <c r="G15">
        <v>26.411528000000001</v>
      </c>
      <c r="H15" t="s">
        <v>60</v>
      </c>
      <c r="I15" t="s">
        <v>46</v>
      </c>
      <c r="J15" t="s">
        <v>44</v>
      </c>
    </row>
    <row r="16" spans="1:10" x14ac:dyDescent="0.2">
      <c r="A16" t="s">
        <v>21</v>
      </c>
      <c r="B16" t="s">
        <v>20</v>
      </c>
      <c r="C16">
        <v>6955</v>
      </c>
      <c r="D16" t="s">
        <v>0</v>
      </c>
      <c r="E16">
        <v>7.2381200000000003</v>
      </c>
      <c r="F16" t="s">
        <v>1</v>
      </c>
      <c r="G16">
        <v>22.072942999999999</v>
      </c>
      <c r="H16" t="s">
        <v>61</v>
      </c>
      <c r="I16" t="s">
        <v>46</v>
      </c>
      <c r="J16" t="s">
        <v>44</v>
      </c>
    </row>
    <row r="17" spans="1:10" x14ac:dyDescent="0.2">
      <c r="A17" t="s">
        <v>21</v>
      </c>
      <c r="B17" t="s">
        <v>20</v>
      </c>
      <c r="C17">
        <v>9709</v>
      </c>
      <c r="D17" t="s">
        <v>0</v>
      </c>
      <c r="E17">
        <v>7.0082139999999997</v>
      </c>
      <c r="F17" t="s">
        <v>1</v>
      </c>
      <c r="G17">
        <v>27.125529</v>
      </c>
      <c r="H17" t="s">
        <v>62</v>
      </c>
      <c r="I17" t="s">
        <v>46</v>
      </c>
      <c r="J17" t="s">
        <v>44</v>
      </c>
    </row>
    <row r="18" spans="1:10" x14ac:dyDescent="0.2">
      <c r="A18" t="s">
        <v>21</v>
      </c>
      <c r="B18" t="s">
        <v>20</v>
      </c>
      <c r="C18">
        <v>15245</v>
      </c>
      <c r="D18" t="s">
        <v>0</v>
      </c>
      <c r="E18">
        <v>8.4350830000000006</v>
      </c>
      <c r="F18" t="s">
        <v>1</v>
      </c>
      <c r="G18">
        <v>37.686687999999997</v>
      </c>
      <c r="H18" t="s">
        <v>63</v>
      </c>
      <c r="I18" t="s">
        <v>46</v>
      </c>
      <c r="J18" t="s">
        <v>44</v>
      </c>
    </row>
    <row r="19" spans="1:10" x14ac:dyDescent="0.2">
      <c r="A19" t="s">
        <v>21</v>
      </c>
      <c r="B19" t="s">
        <v>20</v>
      </c>
      <c r="C19">
        <v>9494</v>
      </c>
      <c r="D19" t="s">
        <v>0</v>
      </c>
      <c r="E19">
        <v>7.7955730000000001</v>
      </c>
      <c r="F19" t="s">
        <v>1</v>
      </c>
      <c r="G19">
        <v>30.368143</v>
      </c>
      <c r="H19" t="s">
        <v>64</v>
      </c>
      <c r="I19" t="s">
        <v>46</v>
      </c>
      <c r="J19" t="s">
        <v>44</v>
      </c>
    </row>
    <row r="20" spans="1:10" x14ac:dyDescent="0.2">
      <c r="A20" t="s">
        <v>21</v>
      </c>
      <c r="B20" t="s">
        <v>20</v>
      </c>
      <c r="C20">
        <v>11867</v>
      </c>
      <c r="D20" t="s">
        <v>0</v>
      </c>
      <c r="E20">
        <v>8.1388590000000001</v>
      </c>
      <c r="F20" t="s">
        <v>1</v>
      </c>
      <c r="G20">
        <v>32.633522999999997</v>
      </c>
      <c r="H20" t="s">
        <v>65</v>
      </c>
      <c r="I20" t="s">
        <v>46</v>
      </c>
      <c r="J20" t="s">
        <v>44</v>
      </c>
    </row>
    <row r="21" spans="1:10" x14ac:dyDescent="0.2">
      <c r="A21" t="s">
        <v>21</v>
      </c>
      <c r="B21" t="s">
        <v>20</v>
      </c>
      <c r="C21">
        <v>9687</v>
      </c>
      <c r="D21" t="s">
        <v>0</v>
      </c>
      <c r="E21">
        <v>7.3344139999999998</v>
      </c>
      <c r="F21" t="s">
        <v>1</v>
      </c>
      <c r="G21">
        <v>32.212508</v>
      </c>
      <c r="H21" t="s">
        <v>66</v>
      </c>
      <c r="I21" t="s">
        <v>46</v>
      </c>
      <c r="J21" t="s">
        <v>44</v>
      </c>
    </row>
    <row r="22" spans="1:10" x14ac:dyDescent="0.2">
      <c r="A22" t="s">
        <v>21</v>
      </c>
      <c r="B22" t="s">
        <v>20</v>
      </c>
      <c r="C22">
        <v>6970</v>
      </c>
      <c r="D22" t="s">
        <v>0</v>
      </c>
      <c r="E22">
        <v>7.1309709999999997</v>
      </c>
      <c r="F22" t="s">
        <v>1</v>
      </c>
      <c r="G22">
        <v>22.928733999999999</v>
      </c>
      <c r="H22" t="s">
        <v>67</v>
      </c>
      <c r="I22" t="s">
        <v>46</v>
      </c>
      <c r="J22" t="s">
        <v>44</v>
      </c>
    </row>
    <row r="23" spans="1:10" x14ac:dyDescent="0.2">
      <c r="A23" t="s">
        <v>21</v>
      </c>
      <c r="B23" t="s">
        <v>20</v>
      </c>
      <c r="C23">
        <v>9692</v>
      </c>
      <c r="D23" t="s">
        <v>0</v>
      </c>
      <c r="E23">
        <v>6.6719239999999997</v>
      </c>
      <c r="F23" t="s">
        <v>1</v>
      </c>
      <c r="G23">
        <v>23.515801</v>
      </c>
      <c r="H23" t="s">
        <v>68</v>
      </c>
      <c r="I23" t="s">
        <v>46</v>
      </c>
      <c r="J23" t="s">
        <v>44</v>
      </c>
    </row>
    <row r="24" spans="1:10" x14ac:dyDescent="0.2">
      <c r="A24" t="s">
        <v>21</v>
      </c>
      <c r="B24" t="s">
        <v>20</v>
      </c>
      <c r="C24">
        <v>15594</v>
      </c>
      <c r="D24" t="s">
        <v>0</v>
      </c>
      <c r="E24">
        <v>8.4214020000000005</v>
      </c>
      <c r="F24" t="s">
        <v>1</v>
      </c>
      <c r="G24">
        <v>38.271769999999997</v>
      </c>
      <c r="H24" t="s">
        <v>69</v>
      </c>
      <c r="I24" t="s">
        <v>46</v>
      </c>
      <c r="J24" t="s">
        <v>44</v>
      </c>
    </row>
    <row r="25" spans="1:10" x14ac:dyDescent="0.2">
      <c r="A25" t="s">
        <v>21</v>
      </c>
      <c r="B25" t="s">
        <v>20</v>
      </c>
      <c r="C25">
        <v>9743</v>
      </c>
      <c r="D25" t="s">
        <v>0</v>
      </c>
      <c r="E25">
        <v>7.8506299999999998</v>
      </c>
      <c r="F25" t="s">
        <v>1</v>
      </c>
      <c r="G25">
        <v>29.470462999999999</v>
      </c>
      <c r="H25" t="s">
        <v>70</v>
      </c>
      <c r="I25" t="s">
        <v>46</v>
      </c>
      <c r="J25" t="s">
        <v>44</v>
      </c>
    </row>
    <row r="26" spans="1:10" x14ac:dyDescent="0.2">
      <c r="A26" t="s">
        <v>21</v>
      </c>
      <c r="B26" t="s">
        <v>20</v>
      </c>
      <c r="C26">
        <v>10137</v>
      </c>
      <c r="D26" t="s">
        <v>0</v>
      </c>
      <c r="E26">
        <v>7.1869699999999996</v>
      </c>
      <c r="F26" t="s">
        <v>1</v>
      </c>
      <c r="G26">
        <v>32.254249999999999</v>
      </c>
      <c r="H26" t="s">
        <v>71</v>
      </c>
      <c r="I26" t="s">
        <v>46</v>
      </c>
      <c r="J26" t="s">
        <v>44</v>
      </c>
    </row>
    <row r="27" spans="1:10" x14ac:dyDescent="0.2">
      <c r="A27" t="s">
        <v>21</v>
      </c>
      <c r="B27" t="s">
        <v>20</v>
      </c>
      <c r="C27">
        <v>12737</v>
      </c>
      <c r="D27" t="s">
        <v>0</v>
      </c>
      <c r="E27">
        <v>7.423934</v>
      </c>
      <c r="F27" t="s">
        <v>1</v>
      </c>
      <c r="G27">
        <v>29.481929000000001</v>
      </c>
      <c r="H27" t="s">
        <v>72</v>
      </c>
      <c r="I27" t="s">
        <v>46</v>
      </c>
      <c r="J27" t="s">
        <v>44</v>
      </c>
    </row>
    <row r="28" spans="1:10" x14ac:dyDescent="0.2">
      <c r="A28" t="s">
        <v>21</v>
      </c>
      <c r="B28" t="s">
        <v>20</v>
      </c>
      <c r="C28">
        <v>10691</v>
      </c>
      <c r="D28" t="s">
        <v>0</v>
      </c>
      <c r="E28">
        <v>9.9481660000000005</v>
      </c>
      <c r="F28" t="s">
        <v>1</v>
      </c>
      <c r="G28">
        <v>29.684484000000001</v>
      </c>
      <c r="H28" t="s">
        <v>73</v>
      </c>
      <c r="I28" t="s">
        <v>46</v>
      </c>
      <c r="J28" t="s">
        <v>44</v>
      </c>
    </row>
    <row r="29" spans="1:10" x14ac:dyDescent="0.2">
      <c r="A29" t="s">
        <v>21</v>
      </c>
      <c r="B29" t="s">
        <v>20</v>
      </c>
      <c r="C29">
        <v>9226</v>
      </c>
      <c r="D29" t="s">
        <v>0</v>
      </c>
      <c r="E29">
        <v>8.0761649999999996</v>
      </c>
      <c r="F29" t="s">
        <v>1</v>
      </c>
      <c r="G29">
        <v>31.188894000000001</v>
      </c>
      <c r="H29" t="s">
        <v>74</v>
      </c>
      <c r="I29" t="s">
        <v>46</v>
      </c>
      <c r="J29" t="s">
        <v>44</v>
      </c>
    </row>
    <row r="30" spans="1:10" x14ac:dyDescent="0.2">
      <c r="A30" t="s">
        <v>21</v>
      </c>
      <c r="B30" t="s">
        <v>20</v>
      </c>
      <c r="C30">
        <v>9849</v>
      </c>
      <c r="D30" t="s">
        <v>0</v>
      </c>
      <c r="E30">
        <v>8.3171219999999995</v>
      </c>
      <c r="F30" t="s">
        <v>1</v>
      </c>
      <c r="G30">
        <v>26.796859999999999</v>
      </c>
      <c r="H30" t="s">
        <v>75</v>
      </c>
      <c r="I30" t="s">
        <v>46</v>
      </c>
      <c r="J30" t="s">
        <v>44</v>
      </c>
    </row>
    <row r="31" spans="1:10" x14ac:dyDescent="0.2">
      <c r="A31" t="s">
        <v>21</v>
      </c>
      <c r="B31" t="s">
        <v>20</v>
      </c>
      <c r="C31">
        <v>9886</v>
      </c>
      <c r="D31" t="s">
        <v>0</v>
      </c>
      <c r="E31">
        <v>7.8826970000000003</v>
      </c>
      <c r="F31" t="s">
        <v>1</v>
      </c>
      <c r="G31">
        <v>29.753634000000002</v>
      </c>
      <c r="H31" t="s">
        <v>76</v>
      </c>
      <c r="I31" t="s">
        <v>46</v>
      </c>
      <c r="J31" t="s">
        <v>44</v>
      </c>
    </row>
    <row r="32" spans="1:10" x14ac:dyDescent="0.2">
      <c r="A32" t="s">
        <v>21</v>
      </c>
      <c r="B32" t="s">
        <v>20</v>
      </c>
      <c r="C32">
        <v>9820</v>
      </c>
      <c r="D32" t="s">
        <v>0</v>
      </c>
      <c r="E32">
        <v>7.43635</v>
      </c>
      <c r="F32" t="s">
        <v>1</v>
      </c>
      <c r="G32">
        <v>31.094560999999999</v>
      </c>
      <c r="H32" t="s">
        <v>77</v>
      </c>
      <c r="I32" t="s">
        <v>46</v>
      </c>
      <c r="J32" t="s">
        <v>44</v>
      </c>
    </row>
    <row r="33" spans="1:10" x14ac:dyDescent="0.2">
      <c r="A33" t="s">
        <v>21</v>
      </c>
      <c r="B33" t="s">
        <v>20</v>
      </c>
      <c r="C33">
        <v>10073</v>
      </c>
      <c r="D33" t="s">
        <v>0</v>
      </c>
      <c r="E33">
        <v>8.4602229999999992</v>
      </c>
      <c r="F33" t="s">
        <v>1</v>
      </c>
      <c r="G33">
        <v>33.270415</v>
      </c>
      <c r="H33" t="s">
        <v>78</v>
      </c>
      <c r="I33" t="s">
        <v>46</v>
      </c>
      <c r="J33" t="s">
        <v>44</v>
      </c>
    </row>
    <row r="34" spans="1:10" x14ac:dyDescent="0.2">
      <c r="A34" t="s">
        <v>21</v>
      </c>
      <c r="B34" t="s">
        <v>20</v>
      </c>
      <c r="C34">
        <v>9709</v>
      </c>
      <c r="D34" t="s">
        <v>0</v>
      </c>
      <c r="E34">
        <v>8.9000579999999996</v>
      </c>
      <c r="F34" t="s">
        <v>1</v>
      </c>
      <c r="G34">
        <v>31.73929</v>
      </c>
      <c r="H34" t="s">
        <v>79</v>
      </c>
      <c r="I34" t="s">
        <v>46</v>
      </c>
      <c r="J34" t="s">
        <v>44</v>
      </c>
    </row>
    <row r="35" spans="1:10" x14ac:dyDescent="0.2">
      <c r="A35" t="s">
        <v>21</v>
      </c>
      <c r="B35" t="s">
        <v>20</v>
      </c>
      <c r="C35">
        <v>9675</v>
      </c>
      <c r="D35" t="s">
        <v>0</v>
      </c>
      <c r="E35">
        <v>8.4962210000000002</v>
      </c>
      <c r="F35" t="s">
        <v>1</v>
      </c>
      <c r="G35">
        <v>33.895052999999997</v>
      </c>
      <c r="H35" t="s">
        <v>80</v>
      </c>
      <c r="I35" t="s">
        <v>46</v>
      </c>
      <c r="J35" t="s">
        <v>44</v>
      </c>
    </row>
    <row r="36" spans="1:10" x14ac:dyDescent="0.2">
      <c r="A36" t="s">
        <v>21</v>
      </c>
      <c r="B36" t="s">
        <v>20</v>
      </c>
      <c r="C36">
        <v>11200</v>
      </c>
      <c r="D36" t="s">
        <v>0</v>
      </c>
      <c r="E36">
        <v>8.9685469999999992</v>
      </c>
      <c r="F36" t="s">
        <v>1</v>
      </c>
      <c r="G36">
        <v>34.801099999999998</v>
      </c>
      <c r="H36" t="s">
        <v>81</v>
      </c>
      <c r="I36" t="s">
        <v>46</v>
      </c>
      <c r="J36" t="s">
        <v>44</v>
      </c>
    </row>
    <row r="37" spans="1:10" x14ac:dyDescent="0.2">
      <c r="A37" t="s">
        <v>21</v>
      </c>
      <c r="B37" t="s">
        <v>20</v>
      </c>
      <c r="C37">
        <v>9906</v>
      </c>
      <c r="D37" t="s">
        <v>0</v>
      </c>
      <c r="E37">
        <v>8.5283110000000004</v>
      </c>
      <c r="F37" t="s">
        <v>1</v>
      </c>
      <c r="G37">
        <v>29.249348999999999</v>
      </c>
      <c r="H37" t="s">
        <v>82</v>
      </c>
      <c r="I37" t="s">
        <v>46</v>
      </c>
      <c r="J37" t="s">
        <v>44</v>
      </c>
    </row>
    <row r="38" spans="1:10" x14ac:dyDescent="0.2">
      <c r="A38" t="s">
        <v>21</v>
      </c>
      <c r="B38" t="s">
        <v>20</v>
      </c>
      <c r="C38">
        <v>9524</v>
      </c>
      <c r="D38" t="s">
        <v>0</v>
      </c>
      <c r="E38">
        <v>6.6682569999999997</v>
      </c>
      <c r="F38" t="s">
        <v>1</v>
      </c>
      <c r="G38">
        <v>32.860484</v>
      </c>
      <c r="H38" t="s">
        <v>83</v>
      </c>
      <c r="I38" t="s">
        <v>46</v>
      </c>
      <c r="J38" t="s">
        <v>44</v>
      </c>
    </row>
    <row r="39" spans="1:10" x14ac:dyDescent="0.2">
      <c r="A39" t="s">
        <v>21</v>
      </c>
      <c r="B39" t="s">
        <v>20</v>
      </c>
      <c r="C39">
        <v>10065</v>
      </c>
      <c r="D39" t="s">
        <v>0</v>
      </c>
      <c r="E39">
        <v>7.8464939999999999</v>
      </c>
      <c r="F39" t="s">
        <v>1</v>
      </c>
      <c r="G39">
        <v>28.289142999999999</v>
      </c>
      <c r="H39" t="s">
        <v>84</v>
      </c>
      <c r="I39" t="s">
        <v>46</v>
      </c>
      <c r="J39" t="s">
        <v>44</v>
      </c>
    </row>
    <row r="40" spans="1:10" x14ac:dyDescent="0.2">
      <c r="A40" t="s">
        <v>21</v>
      </c>
      <c r="B40" t="s">
        <v>20</v>
      </c>
      <c r="C40">
        <v>9456</v>
      </c>
      <c r="D40" t="s">
        <v>0</v>
      </c>
      <c r="E40">
        <v>8.827636</v>
      </c>
      <c r="F40" t="s">
        <v>1</v>
      </c>
      <c r="G40">
        <v>28.714445000000001</v>
      </c>
      <c r="H40" t="s">
        <v>85</v>
      </c>
      <c r="I40" t="s">
        <v>46</v>
      </c>
      <c r="J40" t="s">
        <v>44</v>
      </c>
    </row>
    <row r="41" spans="1:10" x14ac:dyDescent="0.2">
      <c r="A41" t="s">
        <v>21</v>
      </c>
      <c r="B41" t="s">
        <v>20</v>
      </c>
      <c r="C41">
        <v>14110</v>
      </c>
      <c r="D41" t="s">
        <v>0</v>
      </c>
      <c r="E41">
        <v>9.3920770000000005</v>
      </c>
      <c r="F41" t="s">
        <v>1</v>
      </c>
      <c r="G41">
        <v>32.738655999999999</v>
      </c>
      <c r="H41" t="s">
        <v>86</v>
      </c>
      <c r="I41" t="s">
        <v>46</v>
      </c>
      <c r="J41" t="s">
        <v>44</v>
      </c>
    </row>
    <row r="42" spans="1:10" x14ac:dyDescent="0.2">
      <c r="A42" t="s">
        <v>21</v>
      </c>
      <c r="B42" t="s">
        <v>20</v>
      </c>
      <c r="C42">
        <v>11120</v>
      </c>
      <c r="D42" t="s">
        <v>0</v>
      </c>
      <c r="E42">
        <v>8.2600049999999996</v>
      </c>
      <c r="F42" t="s">
        <v>1</v>
      </c>
      <c r="G42">
        <v>30.975473999999998</v>
      </c>
      <c r="H42" t="s">
        <v>87</v>
      </c>
      <c r="I42" t="s">
        <v>46</v>
      </c>
      <c r="J42" t="s">
        <v>44</v>
      </c>
    </row>
    <row r="43" spans="1:10" x14ac:dyDescent="0.2">
      <c r="A43" t="s">
        <v>21</v>
      </c>
      <c r="B43" t="s">
        <v>20</v>
      </c>
      <c r="C43">
        <v>11650</v>
      </c>
      <c r="D43" t="s">
        <v>0</v>
      </c>
      <c r="E43">
        <v>7.2048449999999997</v>
      </c>
      <c r="F43" t="s">
        <v>1</v>
      </c>
      <c r="G43">
        <v>28.378933</v>
      </c>
      <c r="H43" t="s">
        <v>88</v>
      </c>
      <c r="I43" t="s">
        <v>46</v>
      </c>
      <c r="J43" t="s">
        <v>44</v>
      </c>
    </row>
    <row r="44" spans="1:10" x14ac:dyDescent="0.2">
      <c r="A44" t="s">
        <v>21</v>
      </c>
      <c r="B44" t="s">
        <v>20</v>
      </c>
      <c r="C44">
        <v>9845</v>
      </c>
      <c r="D44" t="s">
        <v>0</v>
      </c>
      <c r="E44">
        <v>8.1293019999999991</v>
      </c>
      <c r="F44" t="s">
        <v>1</v>
      </c>
      <c r="G44">
        <v>29.951764000000001</v>
      </c>
      <c r="H44" t="s">
        <v>89</v>
      </c>
      <c r="I44" t="s">
        <v>46</v>
      </c>
      <c r="J44" t="s">
        <v>44</v>
      </c>
    </row>
    <row r="45" spans="1:10" x14ac:dyDescent="0.2">
      <c r="A45" t="s">
        <v>21</v>
      </c>
      <c r="B45" t="s">
        <v>20</v>
      </c>
      <c r="C45">
        <v>10507</v>
      </c>
      <c r="D45" t="s">
        <v>0</v>
      </c>
      <c r="E45">
        <v>7.5527379999999997</v>
      </c>
      <c r="F45" t="s">
        <v>1</v>
      </c>
      <c r="G45">
        <v>33.487133999999998</v>
      </c>
      <c r="H45" t="s">
        <v>90</v>
      </c>
      <c r="I45" t="s">
        <v>46</v>
      </c>
      <c r="J45" t="s">
        <v>44</v>
      </c>
    </row>
    <row r="46" spans="1:10" x14ac:dyDescent="0.2">
      <c r="A46" t="s">
        <v>21</v>
      </c>
      <c r="B46" t="s">
        <v>20</v>
      </c>
      <c r="C46">
        <v>9898</v>
      </c>
      <c r="D46" t="s">
        <v>0</v>
      </c>
      <c r="E46">
        <v>7.6287779999999996</v>
      </c>
      <c r="F46" t="s">
        <v>1</v>
      </c>
      <c r="G46">
        <v>33.953378999999998</v>
      </c>
      <c r="H46" t="s">
        <v>91</v>
      </c>
      <c r="I46" t="s">
        <v>46</v>
      </c>
      <c r="J46" t="s">
        <v>44</v>
      </c>
    </row>
    <row r="47" spans="1:10" x14ac:dyDescent="0.2">
      <c r="A47" t="s">
        <v>21</v>
      </c>
      <c r="B47" t="s">
        <v>20</v>
      </c>
      <c r="C47">
        <v>9572</v>
      </c>
      <c r="D47" t="s">
        <v>0</v>
      </c>
      <c r="E47">
        <v>7.1678490000000004</v>
      </c>
      <c r="F47" t="s">
        <v>1</v>
      </c>
      <c r="G47">
        <v>29.150281</v>
      </c>
      <c r="H47" t="s">
        <v>92</v>
      </c>
      <c r="I47" t="s">
        <v>46</v>
      </c>
      <c r="J47" t="s">
        <v>44</v>
      </c>
    </row>
    <row r="48" spans="1:10" x14ac:dyDescent="0.2">
      <c r="A48" t="s">
        <v>21</v>
      </c>
      <c r="B48" t="s">
        <v>20</v>
      </c>
      <c r="C48">
        <v>10484</v>
      </c>
      <c r="D48" t="s">
        <v>0</v>
      </c>
      <c r="E48">
        <v>7.2224640000000004</v>
      </c>
      <c r="F48" t="s">
        <v>1</v>
      </c>
      <c r="G48">
        <v>33.267916999999997</v>
      </c>
      <c r="H48" t="s">
        <v>93</v>
      </c>
      <c r="I48" t="s">
        <v>46</v>
      </c>
      <c r="J48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48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20</v>
      </c>
      <c r="C1">
        <v>9651</v>
      </c>
      <c r="D1" t="s">
        <v>0</v>
      </c>
      <c r="E1">
        <v>8.7177919999999993</v>
      </c>
      <c r="F1" t="s">
        <v>1</v>
      </c>
      <c r="G1">
        <v>27.594923999999999</v>
      </c>
      <c r="H1" t="s">
        <v>45</v>
      </c>
      <c r="I1" t="s">
        <v>46</v>
      </c>
      <c r="J1" t="s">
        <v>44</v>
      </c>
    </row>
    <row r="2" spans="1:10" x14ac:dyDescent="0.2">
      <c r="A2" t="s">
        <v>22</v>
      </c>
      <c r="B2" t="s">
        <v>20</v>
      </c>
      <c r="C2">
        <v>9631</v>
      </c>
      <c r="D2" t="s">
        <v>0</v>
      </c>
      <c r="E2">
        <v>7.9099950000000003</v>
      </c>
      <c r="F2" t="s">
        <v>1</v>
      </c>
      <c r="G2">
        <v>30.380421999999999</v>
      </c>
      <c r="H2" t="s">
        <v>47</v>
      </c>
      <c r="I2" t="s">
        <v>46</v>
      </c>
      <c r="J2" t="s">
        <v>44</v>
      </c>
    </row>
    <row r="3" spans="1:10" x14ac:dyDescent="0.2">
      <c r="A3" t="s">
        <v>22</v>
      </c>
      <c r="B3" t="s">
        <v>20</v>
      </c>
      <c r="C3">
        <v>9649</v>
      </c>
      <c r="D3" t="s">
        <v>0</v>
      </c>
      <c r="E3">
        <v>7.3128039999999999</v>
      </c>
      <c r="F3" t="s">
        <v>1</v>
      </c>
      <c r="G3">
        <v>31.383358000000001</v>
      </c>
      <c r="H3" t="s">
        <v>48</v>
      </c>
      <c r="I3" t="s">
        <v>46</v>
      </c>
      <c r="J3" t="s">
        <v>44</v>
      </c>
    </row>
    <row r="4" spans="1:10" x14ac:dyDescent="0.2">
      <c r="A4" t="s">
        <v>22</v>
      </c>
      <c r="B4" t="s">
        <v>20</v>
      </c>
      <c r="C4">
        <v>9673</v>
      </c>
      <c r="D4" t="s">
        <v>0</v>
      </c>
      <c r="E4">
        <v>6.9175719999999998</v>
      </c>
      <c r="F4" t="s">
        <v>1</v>
      </c>
      <c r="G4">
        <v>27.183734000000001</v>
      </c>
      <c r="H4" t="s">
        <v>49</v>
      </c>
      <c r="I4" t="s">
        <v>46</v>
      </c>
      <c r="J4" t="s">
        <v>44</v>
      </c>
    </row>
    <row r="5" spans="1:10" x14ac:dyDescent="0.2">
      <c r="A5" t="s">
        <v>22</v>
      </c>
      <c r="B5" t="s">
        <v>20</v>
      </c>
      <c r="C5">
        <v>9709</v>
      </c>
      <c r="D5" t="s">
        <v>0</v>
      </c>
      <c r="E5">
        <v>7.1924109999999999</v>
      </c>
      <c r="F5" t="s">
        <v>1</v>
      </c>
      <c r="G5">
        <v>36.457391000000001</v>
      </c>
      <c r="H5" t="s">
        <v>50</v>
      </c>
      <c r="I5" t="s">
        <v>46</v>
      </c>
      <c r="J5" t="s">
        <v>44</v>
      </c>
    </row>
    <row r="6" spans="1:10" x14ac:dyDescent="0.2">
      <c r="A6" t="s">
        <v>22</v>
      </c>
      <c r="B6" t="s">
        <v>20</v>
      </c>
      <c r="C6">
        <v>9735</v>
      </c>
      <c r="D6" t="s">
        <v>0</v>
      </c>
      <c r="E6">
        <v>8.8602930000000004</v>
      </c>
      <c r="F6" t="s">
        <v>1</v>
      </c>
      <c r="G6">
        <v>32.798597000000001</v>
      </c>
      <c r="H6" t="s">
        <v>51</v>
      </c>
      <c r="I6" t="s">
        <v>46</v>
      </c>
      <c r="J6" t="s">
        <v>44</v>
      </c>
    </row>
    <row r="7" spans="1:10" x14ac:dyDescent="0.2">
      <c r="A7" t="s">
        <v>22</v>
      </c>
      <c r="B7" t="s">
        <v>20</v>
      </c>
      <c r="C7">
        <v>9671</v>
      </c>
      <c r="D7" t="s">
        <v>0</v>
      </c>
      <c r="E7">
        <v>8.860595</v>
      </c>
      <c r="F7" t="s">
        <v>1</v>
      </c>
      <c r="G7">
        <v>36.631205999999999</v>
      </c>
      <c r="H7" t="s">
        <v>52</v>
      </c>
      <c r="I7" t="s">
        <v>46</v>
      </c>
      <c r="J7" t="s">
        <v>44</v>
      </c>
    </row>
    <row r="8" spans="1:10" x14ac:dyDescent="0.2">
      <c r="A8" t="s">
        <v>22</v>
      </c>
      <c r="B8" t="s">
        <v>20</v>
      </c>
      <c r="C8">
        <v>10239</v>
      </c>
      <c r="D8" t="s">
        <v>0</v>
      </c>
      <c r="E8">
        <v>9.2261950000000006</v>
      </c>
      <c r="F8" t="s">
        <v>1</v>
      </c>
      <c r="G8">
        <v>29.367659</v>
      </c>
      <c r="H8" t="s">
        <v>53</v>
      </c>
      <c r="I8" t="s">
        <v>46</v>
      </c>
      <c r="J8" t="s">
        <v>44</v>
      </c>
    </row>
    <row r="9" spans="1:10" x14ac:dyDescent="0.2">
      <c r="A9" t="s">
        <v>22</v>
      </c>
      <c r="B9" t="s">
        <v>20</v>
      </c>
      <c r="C9">
        <v>8848</v>
      </c>
      <c r="D9" t="s">
        <v>0</v>
      </c>
      <c r="E9">
        <v>8.2799189999999996</v>
      </c>
      <c r="F9" t="s">
        <v>1</v>
      </c>
      <c r="G9">
        <v>31.095257</v>
      </c>
      <c r="H9" t="s">
        <v>54</v>
      </c>
      <c r="I9" t="s">
        <v>46</v>
      </c>
      <c r="J9" t="s">
        <v>44</v>
      </c>
    </row>
    <row r="10" spans="1:10" x14ac:dyDescent="0.2">
      <c r="A10" t="s">
        <v>22</v>
      </c>
      <c r="B10" t="s">
        <v>20</v>
      </c>
      <c r="C10">
        <v>10119</v>
      </c>
      <c r="D10" t="s">
        <v>0</v>
      </c>
      <c r="E10">
        <v>8.2838790000000007</v>
      </c>
      <c r="F10" t="s">
        <v>1</v>
      </c>
      <c r="G10">
        <v>30.401758000000001</v>
      </c>
      <c r="H10" t="s">
        <v>55</v>
      </c>
      <c r="I10" t="s">
        <v>46</v>
      </c>
      <c r="J10" t="s">
        <v>44</v>
      </c>
    </row>
    <row r="11" spans="1:10" x14ac:dyDescent="0.2">
      <c r="A11" t="s">
        <v>22</v>
      </c>
      <c r="B11" t="s">
        <v>20</v>
      </c>
      <c r="C11">
        <v>10624</v>
      </c>
      <c r="D11" t="s">
        <v>0</v>
      </c>
      <c r="E11">
        <v>8.1712030000000002</v>
      </c>
      <c r="F11" t="s">
        <v>1</v>
      </c>
      <c r="G11">
        <v>27.627745000000001</v>
      </c>
      <c r="H11" t="s">
        <v>56</v>
      </c>
      <c r="I11" t="s">
        <v>46</v>
      </c>
      <c r="J11" t="s">
        <v>44</v>
      </c>
    </row>
    <row r="12" spans="1:10" x14ac:dyDescent="0.2">
      <c r="A12" t="s">
        <v>22</v>
      </c>
      <c r="B12" t="s">
        <v>20</v>
      </c>
      <c r="C12">
        <v>9701</v>
      </c>
      <c r="D12" t="s">
        <v>0</v>
      </c>
      <c r="E12">
        <v>9.3430909999999994</v>
      </c>
      <c r="F12" t="s">
        <v>1</v>
      </c>
      <c r="G12">
        <v>29.950137999999999</v>
      </c>
      <c r="H12" t="s">
        <v>57</v>
      </c>
      <c r="I12" t="s">
        <v>46</v>
      </c>
      <c r="J12" t="s">
        <v>44</v>
      </c>
    </row>
    <row r="13" spans="1:10" x14ac:dyDescent="0.2">
      <c r="A13" t="s">
        <v>22</v>
      </c>
      <c r="B13" t="s">
        <v>20</v>
      </c>
      <c r="C13">
        <v>10206</v>
      </c>
      <c r="D13" t="s">
        <v>0</v>
      </c>
      <c r="E13">
        <v>7.9640089999999999</v>
      </c>
      <c r="F13" t="s">
        <v>1</v>
      </c>
      <c r="G13">
        <v>31.657962000000001</v>
      </c>
      <c r="H13" t="s">
        <v>58</v>
      </c>
      <c r="I13" t="s">
        <v>46</v>
      </c>
      <c r="J13" t="s">
        <v>44</v>
      </c>
    </row>
    <row r="14" spans="1:10" x14ac:dyDescent="0.2">
      <c r="A14" t="s">
        <v>22</v>
      </c>
      <c r="B14" t="s">
        <v>20</v>
      </c>
      <c r="C14">
        <v>10581</v>
      </c>
      <c r="D14" t="s">
        <v>0</v>
      </c>
      <c r="E14">
        <v>8.8113469999999996</v>
      </c>
      <c r="F14" t="s">
        <v>1</v>
      </c>
      <c r="G14">
        <v>28.002748</v>
      </c>
      <c r="H14" t="s">
        <v>59</v>
      </c>
      <c r="I14" t="s">
        <v>46</v>
      </c>
      <c r="J14" t="s">
        <v>44</v>
      </c>
    </row>
    <row r="15" spans="1:10" x14ac:dyDescent="0.2">
      <c r="A15" t="s">
        <v>22</v>
      </c>
      <c r="B15" t="s">
        <v>20</v>
      </c>
      <c r="C15">
        <v>9715</v>
      </c>
      <c r="D15" t="s">
        <v>0</v>
      </c>
      <c r="E15">
        <v>6.6352880000000001</v>
      </c>
      <c r="F15" t="s">
        <v>1</v>
      </c>
      <c r="G15">
        <v>26.722093999999998</v>
      </c>
      <c r="H15" t="s">
        <v>60</v>
      </c>
      <c r="I15" t="s">
        <v>46</v>
      </c>
      <c r="J15" t="s">
        <v>44</v>
      </c>
    </row>
    <row r="16" spans="1:10" x14ac:dyDescent="0.2">
      <c r="A16" t="s">
        <v>22</v>
      </c>
      <c r="B16" t="s">
        <v>20</v>
      </c>
      <c r="C16">
        <v>6955</v>
      </c>
      <c r="D16" t="s">
        <v>0</v>
      </c>
      <c r="E16">
        <v>6.8809680000000002</v>
      </c>
      <c r="F16" t="s">
        <v>1</v>
      </c>
      <c r="G16">
        <v>26.135361</v>
      </c>
      <c r="H16" t="s">
        <v>61</v>
      </c>
      <c r="I16" t="s">
        <v>46</v>
      </c>
      <c r="J16" t="s">
        <v>44</v>
      </c>
    </row>
    <row r="17" spans="1:10" x14ac:dyDescent="0.2">
      <c r="A17" t="s">
        <v>22</v>
      </c>
      <c r="B17" t="s">
        <v>20</v>
      </c>
      <c r="C17">
        <v>9709</v>
      </c>
      <c r="D17" t="s">
        <v>0</v>
      </c>
      <c r="E17">
        <v>6.7708329999999997</v>
      </c>
      <c r="F17" t="s">
        <v>1</v>
      </c>
      <c r="G17">
        <v>28.115815000000001</v>
      </c>
      <c r="H17" t="s">
        <v>62</v>
      </c>
      <c r="I17" t="s">
        <v>46</v>
      </c>
      <c r="J17" t="s">
        <v>44</v>
      </c>
    </row>
    <row r="18" spans="1:10" x14ac:dyDescent="0.2">
      <c r="A18" t="s">
        <v>22</v>
      </c>
      <c r="B18" t="s">
        <v>20</v>
      </c>
      <c r="C18">
        <v>15245</v>
      </c>
      <c r="D18" t="s">
        <v>0</v>
      </c>
      <c r="E18">
        <v>8.6612480000000005</v>
      </c>
      <c r="F18" t="s">
        <v>1</v>
      </c>
      <c r="G18">
        <v>31.206171000000001</v>
      </c>
      <c r="H18" t="s">
        <v>63</v>
      </c>
      <c r="I18" t="s">
        <v>46</v>
      </c>
      <c r="J18" t="s">
        <v>44</v>
      </c>
    </row>
    <row r="19" spans="1:10" x14ac:dyDescent="0.2">
      <c r="A19" t="s">
        <v>22</v>
      </c>
      <c r="B19" t="s">
        <v>20</v>
      </c>
      <c r="C19">
        <v>9494</v>
      </c>
      <c r="D19" t="s">
        <v>0</v>
      </c>
      <c r="E19">
        <v>7.5020040000000003</v>
      </c>
      <c r="F19" t="s">
        <v>1</v>
      </c>
      <c r="G19">
        <v>28.465653</v>
      </c>
      <c r="H19" t="s">
        <v>64</v>
      </c>
      <c r="I19" t="s">
        <v>46</v>
      </c>
      <c r="J19" t="s">
        <v>44</v>
      </c>
    </row>
    <row r="20" spans="1:10" x14ac:dyDescent="0.2">
      <c r="A20" t="s">
        <v>22</v>
      </c>
      <c r="B20" t="s">
        <v>20</v>
      </c>
      <c r="C20">
        <v>11867</v>
      </c>
      <c r="D20" t="s">
        <v>0</v>
      </c>
      <c r="E20">
        <v>7.6551349999999996</v>
      </c>
      <c r="F20" t="s">
        <v>1</v>
      </c>
      <c r="G20">
        <v>31.381865000000001</v>
      </c>
      <c r="H20" t="s">
        <v>65</v>
      </c>
      <c r="I20" t="s">
        <v>46</v>
      </c>
      <c r="J20" t="s">
        <v>44</v>
      </c>
    </row>
    <row r="21" spans="1:10" x14ac:dyDescent="0.2">
      <c r="A21" t="s">
        <v>22</v>
      </c>
      <c r="B21" t="s">
        <v>20</v>
      </c>
      <c r="C21">
        <v>9687</v>
      </c>
      <c r="D21" t="s">
        <v>0</v>
      </c>
      <c r="E21">
        <v>7.0381729999999996</v>
      </c>
      <c r="F21" t="s">
        <v>1</v>
      </c>
      <c r="G21">
        <v>28.525404000000002</v>
      </c>
      <c r="H21" t="s">
        <v>66</v>
      </c>
      <c r="I21" t="s">
        <v>46</v>
      </c>
      <c r="J21" t="s">
        <v>44</v>
      </c>
    </row>
    <row r="22" spans="1:10" x14ac:dyDescent="0.2">
      <c r="A22" t="s">
        <v>22</v>
      </c>
      <c r="B22" t="s">
        <v>20</v>
      </c>
      <c r="C22">
        <v>6970</v>
      </c>
      <c r="D22" t="s">
        <v>0</v>
      </c>
      <c r="E22">
        <v>6.5236039999999997</v>
      </c>
      <c r="F22" t="s">
        <v>1</v>
      </c>
      <c r="G22">
        <v>22.976908999999999</v>
      </c>
      <c r="H22" t="s">
        <v>67</v>
      </c>
      <c r="I22" t="s">
        <v>46</v>
      </c>
      <c r="J22" t="s">
        <v>44</v>
      </c>
    </row>
    <row r="23" spans="1:10" x14ac:dyDescent="0.2">
      <c r="A23" t="s">
        <v>22</v>
      </c>
      <c r="B23" t="s">
        <v>20</v>
      </c>
      <c r="C23">
        <v>9692</v>
      </c>
      <c r="D23" t="s">
        <v>0</v>
      </c>
      <c r="E23">
        <v>7.5200250000000004</v>
      </c>
      <c r="F23" t="s">
        <v>1</v>
      </c>
      <c r="G23">
        <v>24.660063999999998</v>
      </c>
      <c r="H23" t="s">
        <v>68</v>
      </c>
      <c r="I23" t="s">
        <v>46</v>
      </c>
      <c r="J23" t="s">
        <v>44</v>
      </c>
    </row>
    <row r="24" spans="1:10" x14ac:dyDescent="0.2">
      <c r="A24" t="s">
        <v>22</v>
      </c>
      <c r="B24" t="s">
        <v>20</v>
      </c>
      <c r="C24">
        <v>15594</v>
      </c>
      <c r="D24" t="s">
        <v>0</v>
      </c>
      <c r="E24">
        <v>8.5202139999999993</v>
      </c>
      <c r="F24" t="s">
        <v>1</v>
      </c>
      <c r="G24">
        <v>33.266193000000001</v>
      </c>
      <c r="H24" t="s">
        <v>69</v>
      </c>
      <c r="I24" t="s">
        <v>46</v>
      </c>
      <c r="J24" t="s">
        <v>44</v>
      </c>
    </row>
    <row r="25" spans="1:10" x14ac:dyDescent="0.2">
      <c r="A25" t="s">
        <v>22</v>
      </c>
      <c r="B25" t="s">
        <v>20</v>
      </c>
      <c r="C25">
        <v>9743</v>
      </c>
      <c r="D25" t="s">
        <v>0</v>
      </c>
      <c r="E25">
        <v>7.5124389999999996</v>
      </c>
      <c r="F25" t="s">
        <v>1</v>
      </c>
      <c r="G25">
        <v>28.6722</v>
      </c>
      <c r="H25" t="s">
        <v>70</v>
      </c>
      <c r="I25" t="s">
        <v>46</v>
      </c>
      <c r="J25" t="s">
        <v>44</v>
      </c>
    </row>
    <row r="26" spans="1:10" x14ac:dyDescent="0.2">
      <c r="A26" t="s">
        <v>22</v>
      </c>
      <c r="B26" t="s">
        <v>20</v>
      </c>
      <c r="C26">
        <v>10137</v>
      </c>
      <c r="D26" t="s">
        <v>0</v>
      </c>
      <c r="E26">
        <v>7.0526730000000004</v>
      </c>
      <c r="F26" t="s">
        <v>1</v>
      </c>
      <c r="G26">
        <v>31.188310000000001</v>
      </c>
      <c r="H26" t="s">
        <v>71</v>
      </c>
      <c r="I26" t="s">
        <v>46</v>
      </c>
      <c r="J26" t="s">
        <v>44</v>
      </c>
    </row>
    <row r="27" spans="1:10" x14ac:dyDescent="0.2">
      <c r="A27" t="s">
        <v>22</v>
      </c>
      <c r="B27" t="s">
        <v>20</v>
      </c>
      <c r="C27">
        <v>12737</v>
      </c>
      <c r="D27" t="s">
        <v>0</v>
      </c>
      <c r="E27">
        <v>7.3932120000000001</v>
      </c>
      <c r="F27" t="s">
        <v>1</v>
      </c>
      <c r="G27">
        <v>27.672681999999998</v>
      </c>
      <c r="H27" t="s">
        <v>72</v>
      </c>
      <c r="I27" t="s">
        <v>46</v>
      </c>
      <c r="J27" t="s">
        <v>44</v>
      </c>
    </row>
    <row r="28" spans="1:10" x14ac:dyDescent="0.2">
      <c r="A28" t="s">
        <v>22</v>
      </c>
      <c r="B28" t="s">
        <v>20</v>
      </c>
      <c r="C28">
        <v>10691</v>
      </c>
      <c r="D28" t="s">
        <v>0</v>
      </c>
      <c r="E28">
        <v>6.5557270000000001</v>
      </c>
      <c r="F28" t="s">
        <v>1</v>
      </c>
      <c r="G28">
        <v>27.306494000000001</v>
      </c>
      <c r="H28" t="s">
        <v>73</v>
      </c>
      <c r="I28" t="s">
        <v>46</v>
      </c>
      <c r="J28" t="s">
        <v>44</v>
      </c>
    </row>
    <row r="29" spans="1:10" x14ac:dyDescent="0.2">
      <c r="A29" t="s">
        <v>22</v>
      </c>
      <c r="B29" t="s">
        <v>20</v>
      </c>
      <c r="C29">
        <v>9226</v>
      </c>
      <c r="D29" t="s">
        <v>0</v>
      </c>
      <c r="E29">
        <v>7.4837899999999999</v>
      </c>
      <c r="F29" t="s">
        <v>1</v>
      </c>
      <c r="G29">
        <v>27.630129</v>
      </c>
      <c r="H29" t="s">
        <v>74</v>
      </c>
      <c r="I29" t="s">
        <v>46</v>
      </c>
      <c r="J29" t="s">
        <v>44</v>
      </c>
    </row>
    <row r="30" spans="1:10" x14ac:dyDescent="0.2">
      <c r="A30" t="s">
        <v>22</v>
      </c>
      <c r="B30" t="s">
        <v>20</v>
      </c>
      <c r="C30">
        <v>9849</v>
      </c>
      <c r="D30" t="s">
        <v>0</v>
      </c>
      <c r="E30">
        <v>8.9845419999999994</v>
      </c>
      <c r="F30" t="s">
        <v>1</v>
      </c>
      <c r="G30">
        <v>26.070929</v>
      </c>
      <c r="H30" t="s">
        <v>75</v>
      </c>
      <c r="I30" t="s">
        <v>46</v>
      </c>
      <c r="J30" t="s">
        <v>44</v>
      </c>
    </row>
    <row r="31" spans="1:10" x14ac:dyDescent="0.2">
      <c r="A31" t="s">
        <v>22</v>
      </c>
      <c r="B31" t="s">
        <v>20</v>
      </c>
      <c r="C31">
        <v>9886</v>
      </c>
      <c r="D31" t="s">
        <v>0</v>
      </c>
      <c r="E31">
        <v>7.8816420000000003</v>
      </c>
      <c r="F31" t="s">
        <v>1</v>
      </c>
      <c r="G31">
        <v>32.279035999999998</v>
      </c>
      <c r="H31" t="s">
        <v>76</v>
      </c>
      <c r="I31" t="s">
        <v>46</v>
      </c>
      <c r="J31" t="s">
        <v>44</v>
      </c>
    </row>
    <row r="32" spans="1:10" x14ac:dyDescent="0.2">
      <c r="A32" t="s">
        <v>22</v>
      </c>
      <c r="B32" t="s">
        <v>20</v>
      </c>
      <c r="C32">
        <v>9820</v>
      </c>
      <c r="D32" t="s">
        <v>0</v>
      </c>
      <c r="E32">
        <v>7.6288799999999997</v>
      </c>
      <c r="F32" t="s">
        <v>1</v>
      </c>
      <c r="G32">
        <v>30.798484999999999</v>
      </c>
      <c r="H32" t="s">
        <v>77</v>
      </c>
      <c r="I32" t="s">
        <v>46</v>
      </c>
      <c r="J32" t="s">
        <v>44</v>
      </c>
    </row>
    <row r="33" spans="1:10" x14ac:dyDescent="0.2">
      <c r="A33" t="s">
        <v>22</v>
      </c>
      <c r="B33" t="s">
        <v>20</v>
      </c>
      <c r="C33">
        <v>10073</v>
      </c>
      <c r="D33" t="s">
        <v>0</v>
      </c>
      <c r="E33">
        <v>7.5937349999999997</v>
      </c>
      <c r="F33" t="s">
        <v>1</v>
      </c>
      <c r="G33">
        <v>25.952476000000001</v>
      </c>
      <c r="H33" t="s">
        <v>78</v>
      </c>
      <c r="I33" t="s">
        <v>46</v>
      </c>
      <c r="J33" t="s">
        <v>44</v>
      </c>
    </row>
    <row r="34" spans="1:10" x14ac:dyDescent="0.2">
      <c r="A34" t="s">
        <v>22</v>
      </c>
      <c r="B34" t="s">
        <v>20</v>
      </c>
      <c r="C34">
        <v>9709</v>
      </c>
      <c r="D34" t="s">
        <v>0</v>
      </c>
      <c r="E34">
        <v>7.9050669999999998</v>
      </c>
      <c r="F34" t="s">
        <v>1</v>
      </c>
      <c r="G34">
        <v>31.491439</v>
      </c>
      <c r="H34" t="s">
        <v>79</v>
      </c>
      <c r="I34" t="s">
        <v>46</v>
      </c>
      <c r="J34" t="s">
        <v>44</v>
      </c>
    </row>
    <row r="35" spans="1:10" x14ac:dyDescent="0.2">
      <c r="A35" t="s">
        <v>22</v>
      </c>
      <c r="B35" t="s">
        <v>20</v>
      </c>
      <c r="C35">
        <v>9675</v>
      </c>
      <c r="D35" t="s">
        <v>0</v>
      </c>
      <c r="E35">
        <v>6.9432660000000004</v>
      </c>
      <c r="F35" t="s">
        <v>1</v>
      </c>
      <c r="G35">
        <v>25.735924000000001</v>
      </c>
      <c r="H35" t="s">
        <v>80</v>
      </c>
      <c r="I35" t="s">
        <v>46</v>
      </c>
      <c r="J35" t="s">
        <v>44</v>
      </c>
    </row>
    <row r="36" spans="1:10" x14ac:dyDescent="0.2">
      <c r="A36" t="s">
        <v>22</v>
      </c>
      <c r="B36" t="s">
        <v>20</v>
      </c>
      <c r="C36">
        <v>11200</v>
      </c>
      <c r="D36" t="s">
        <v>0</v>
      </c>
      <c r="E36">
        <v>6.8803489999999998</v>
      </c>
      <c r="F36" t="s">
        <v>1</v>
      </c>
      <c r="G36">
        <v>26.690707</v>
      </c>
      <c r="H36" t="s">
        <v>81</v>
      </c>
      <c r="I36" t="s">
        <v>46</v>
      </c>
      <c r="J36" t="s">
        <v>44</v>
      </c>
    </row>
    <row r="37" spans="1:10" x14ac:dyDescent="0.2">
      <c r="A37" t="s">
        <v>22</v>
      </c>
      <c r="B37" t="s">
        <v>20</v>
      </c>
      <c r="C37">
        <v>9906</v>
      </c>
      <c r="D37" t="s">
        <v>0</v>
      </c>
      <c r="E37">
        <v>6.9164830000000004</v>
      </c>
      <c r="F37" t="s">
        <v>1</v>
      </c>
      <c r="G37">
        <v>23.714358000000001</v>
      </c>
      <c r="H37" t="s">
        <v>82</v>
      </c>
      <c r="I37" t="s">
        <v>46</v>
      </c>
      <c r="J37" t="s">
        <v>44</v>
      </c>
    </row>
    <row r="38" spans="1:10" x14ac:dyDescent="0.2">
      <c r="A38" t="s">
        <v>22</v>
      </c>
      <c r="B38" t="s">
        <v>20</v>
      </c>
      <c r="C38">
        <v>9524</v>
      </c>
      <c r="D38" t="s">
        <v>0</v>
      </c>
      <c r="E38">
        <v>6.7777079999999996</v>
      </c>
      <c r="F38" t="s">
        <v>1</v>
      </c>
      <c r="G38">
        <v>27.839964999999999</v>
      </c>
      <c r="H38" t="s">
        <v>83</v>
      </c>
      <c r="I38" t="s">
        <v>46</v>
      </c>
      <c r="J38" t="s">
        <v>44</v>
      </c>
    </row>
    <row r="39" spans="1:10" x14ac:dyDescent="0.2">
      <c r="A39" t="s">
        <v>22</v>
      </c>
      <c r="B39" t="s">
        <v>20</v>
      </c>
      <c r="C39">
        <v>10065</v>
      </c>
      <c r="D39" t="s">
        <v>0</v>
      </c>
      <c r="E39">
        <v>7.1665330000000003</v>
      </c>
      <c r="F39" t="s">
        <v>1</v>
      </c>
      <c r="G39">
        <v>26.035198999999999</v>
      </c>
      <c r="H39" t="s">
        <v>84</v>
      </c>
      <c r="I39" t="s">
        <v>46</v>
      </c>
      <c r="J39" t="s">
        <v>44</v>
      </c>
    </row>
    <row r="40" spans="1:10" x14ac:dyDescent="0.2">
      <c r="A40" t="s">
        <v>22</v>
      </c>
      <c r="B40" t="s">
        <v>20</v>
      </c>
      <c r="C40">
        <v>9456</v>
      </c>
      <c r="D40" t="s">
        <v>0</v>
      </c>
      <c r="E40">
        <v>7.3144169999999997</v>
      </c>
      <c r="F40" t="s">
        <v>1</v>
      </c>
      <c r="G40">
        <v>24.788316999999999</v>
      </c>
      <c r="H40" t="s">
        <v>85</v>
      </c>
      <c r="I40" t="s">
        <v>46</v>
      </c>
      <c r="J40" t="s">
        <v>44</v>
      </c>
    </row>
    <row r="41" spans="1:10" x14ac:dyDescent="0.2">
      <c r="A41" t="s">
        <v>22</v>
      </c>
      <c r="B41" t="s">
        <v>20</v>
      </c>
      <c r="C41">
        <v>14110</v>
      </c>
      <c r="D41" t="s">
        <v>0</v>
      </c>
      <c r="E41">
        <v>7.129086</v>
      </c>
      <c r="F41" t="s">
        <v>1</v>
      </c>
      <c r="G41">
        <v>31.89021</v>
      </c>
      <c r="H41" t="s">
        <v>86</v>
      </c>
      <c r="I41" t="s">
        <v>46</v>
      </c>
      <c r="J41" t="s">
        <v>44</v>
      </c>
    </row>
    <row r="42" spans="1:10" x14ac:dyDescent="0.2">
      <c r="A42" t="s">
        <v>22</v>
      </c>
      <c r="B42" t="s">
        <v>20</v>
      </c>
      <c r="C42">
        <v>11120</v>
      </c>
      <c r="D42" t="s">
        <v>0</v>
      </c>
      <c r="E42">
        <v>7.9547720000000002</v>
      </c>
      <c r="F42" t="s">
        <v>1</v>
      </c>
      <c r="G42">
        <v>24.997081000000001</v>
      </c>
      <c r="H42" t="s">
        <v>87</v>
      </c>
      <c r="I42" t="s">
        <v>46</v>
      </c>
      <c r="J42" t="s">
        <v>44</v>
      </c>
    </row>
    <row r="43" spans="1:10" x14ac:dyDescent="0.2">
      <c r="A43" t="s">
        <v>22</v>
      </c>
      <c r="B43" t="s">
        <v>20</v>
      </c>
      <c r="C43">
        <v>11650</v>
      </c>
      <c r="D43" t="s">
        <v>0</v>
      </c>
      <c r="E43">
        <v>7.1274959999999998</v>
      </c>
      <c r="F43" t="s">
        <v>1</v>
      </c>
      <c r="G43">
        <v>28.208658</v>
      </c>
      <c r="H43" t="s">
        <v>88</v>
      </c>
      <c r="I43" t="s">
        <v>46</v>
      </c>
      <c r="J43" t="s">
        <v>44</v>
      </c>
    </row>
    <row r="44" spans="1:10" x14ac:dyDescent="0.2">
      <c r="A44" t="s">
        <v>22</v>
      </c>
      <c r="B44" t="s">
        <v>20</v>
      </c>
      <c r="C44">
        <v>9845</v>
      </c>
      <c r="D44" t="s">
        <v>0</v>
      </c>
      <c r="E44">
        <v>9.5378399999999992</v>
      </c>
      <c r="F44" t="s">
        <v>1</v>
      </c>
      <c r="G44">
        <v>26.936008000000001</v>
      </c>
      <c r="H44" t="s">
        <v>89</v>
      </c>
      <c r="I44" t="s">
        <v>46</v>
      </c>
      <c r="J44" t="s">
        <v>44</v>
      </c>
    </row>
    <row r="45" spans="1:10" x14ac:dyDescent="0.2">
      <c r="A45" t="s">
        <v>22</v>
      </c>
      <c r="B45" t="s">
        <v>20</v>
      </c>
      <c r="C45">
        <v>10507</v>
      </c>
      <c r="D45" t="s">
        <v>0</v>
      </c>
      <c r="E45">
        <v>6.9794539999999996</v>
      </c>
      <c r="F45" t="s">
        <v>1</v>
      </c>
      <c r="G45">
        <v>25.392014</v>
      </c>
      <c r="H45" t="s">
        <v>90</v>
      </c>
      <c r="I45" t="s">
        <v>46</v>
      </c>
      <c r="J45" t="s">
        <v>44</v>
      </c>
    </row>
    <row r="46" spans="1:10" x14ac:dyDescent="0.2">
      <c r="A46" t="s">
        <v>22</v>
      </c>
      <c r="B46" t="s">
        <v>20</v>
      </c>
      <c r="C46">
        <v>9898</v>
      </c>
      <c r="D46" t="s">
        <v>0</v>
      </c>
      <c r="E46">
        <v>7.8394139999999997</v>
      </c>
      <c r="F46" t="s">
        <v>1</v>
      </c>
      <c r="G46">
        <v>31.502341000000001</v>
      </c>
      <c r="H46" t="s">
        <v>91</v>
      </c>
      <c r="I46" t="s">
        <v>46</v>
      </c>
      <c r="J46" t="s">
        <v>44</v>
      </c>
    </row>
    <row r="47" spans="1:10" x14ac:dyDescent="0.2">
      <c r="A47" t="s">
        <v>22</v>
      </c>
      <c r="B47" t="s">
        <v>20</v>
      </c>
      <c r="C47">
        <v>9572</v>
      </c>
      <c r="D47" t="s">
        <v>0</v>
      </c>
      <c r="E47">
        <v>7.0358080000000003</v>
      </c>
      <c r="F47" t="s">
        <v>1</v>
      </c>
      <c r="G47">
        <v>27.570423000000002</v>
      </c>
      <c r="H47" t="s">
        <v>92</v>
      </c>
      <c r="I47" t="s">
        <v>46</v>
      </c>
      <c r="J47" t="s">
        <v>44</v>
      </c>
    </row>
    <row r="48" spans="1:10" x14ac:dyDescent="0.2">
      <c r="A48" t="s">
        <v>22</v>
      </c>
      <c r="B48" t="s">
        <v>20</v>
      </c>
      <c r="C48">
        <v>10484</v>
      </c>
      <c r="D48" t="s">
        <v>0</v>
      </c>
      <c r="E48">
        <v>7.6783520000000003</v>
      </c>
      <c r="F48" t="s">
        <v>1</v>
      </c>
      <c r="G48">
        <v>26.088477000000001</v>
      </c>
      <c r="H48" t="s">
        <v>93</v>
      </c>
      <c r="I48" t="s">
        <v>46</v>
      </c>
      <c r="J48" t="s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48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20</v>
      </c>
      <c r="C1">
        <v>9651</v>
      </c>
      <c r="D1" t="s">
        <v>0</v>
      </c>
      <c r="E1">
        <v>7.1696039999999996</v>
      </c>
      <c r="F1" t="s">
        <v>1</v>
      </c>
      <c r="G1">
        <v>25.160675000000001</v>
      </c>
      <c r="H1" t="s">
        <v>45</v>
      </c>
      <c r="I1" t="s">
        <v>46</v>
      </c>
      <c r="J1" t="s">
        <v>44</v>
      </c>
    </row>
    <row r="2" spans="1:10" x14ac:dyDescent="0.2">
      <c r="A2" t="s">
        <v>23</v>
      </c>
      <c r="B2" t="s">
        <v>20</v>
      </c>
      <c r="C2">
        <v>9631</v>
      </c>
      <c r="D2" t="s">
        <v>0</v>
      </c>
      <c r="E2">
        <v>6.3646279999999997</v>
      </c>
      <c r="F2" t="s">
        <v>1</v>
      </c>
      <c r="G2">
        <v>23.528832999999999</v>
      </c>
      <c r="H2" t="s">
        <v>47</v>
      </c>
      <c r="I2" t="s">
        <v>46</v>
      </c>
      <c r="J2" t="s">
        <v>44</v>
      </c>
    </row>
    <row r="3" spans="1:10" x14ac:dyDescent="0.2">
      <c r="A3" t="s">
        <v>23</v>
      </c>
      <c r="B3" t="s">
        <v>20</v>
      </c>
      <c r="C3">
        <v>9649</v>
      </c>
      <c r="D3" t="s">
        <v>0</v>
      </c>
      <c r="E3">
        <v>6.6093570000000001</v>
      </c>
      <c r="F3" t="s">
        <v>1</v>
      </c>
      <c r="G3">
        <v>25.914531</v>
      </c>
      <c r="H3" t="s">
        <v>48</v>
      </c>
      <c r="I3" t="s">
        <v>46</v>
      </c>
      <c r="J3" t="s">
        <v>44</v>
      </c>
    </row>
    <row r="4" spans="1:10" x14ac:dyDescent="0.2">
      <c r="A4" t="s">
        <v>23</v>
      </c>
      <c r="B4" t="s">
        <v>20</v>
      </c>
      <c r="C4">
        <v>9673</v>
      </c>
      <c r="D4" t="s">
        <v>0</v>
      </c>
      <c r="E4">
        <v>7.2530749999999999</v>
      </c>
      <c r="F4" t="s">
        <v>1</v>
      </c>
      <c r="G4">
        <v>26.710515999999998</v>
      </c>
      <c r="H4" t="s">
        <v>49</v>
      </c>
      <c r="I4" t="s">
        <v>46</v>
      </c>
      <c r="J4" t="s">
        <v>44</v>
      </c>
    </row>
    <row r="5" spans="1:10" x14ac:dyDescent="0.2">
      <c r="A5" t="s">
        <v>23</v>
      </c>
      <c r="B5" t="s">
        <v>20</v>
      </c>
      <c r="C5">
        <v>9709</v>
      </c>
      <c r="D5" t="s">
        <v>0</v>
      </c>
      <c r="E5">
        <v>7.3510660000000003</v>
      </c>
      <c r="F5" t="s">
        <v>1</v>
      </c>
      <c r="G5">
        <v>25.935777999999999</v>
      </c>
      <c r="H5" t="s">
        <v>50</v>
      </c>
      <c r="I5" t="s">
        <v>46</v>
      </c>
      <c r="J5" t="s">
        <v>44</v>
      </c>
    </row>
    <row r="6" spans="1:10" x14ac:dyDescent="0.2">
      <c r="A6" t="s">
        <v>23</v>
      </c>
      <c r="B6" t="s">
        <v>20</v>
      </c>
      <c r="C6">
        <v>9735</v>
      </c>
      <c r="D6" t="s">
        <v>0</v>
      </c>
      <c r="E6">
        <v>6.6918899999999999</v>
      </c>
      <c r="F6" t="s">
        <v>1</v>
      </c>
      <c r="G6">
        <v>25.982837</v>
      </c>
      <c r="H6" t="s">
        <v>51</v>
      </c>
      <c r="I6" t="s">
        <v>46</v>
      </c>
      <c r="J6" t="s">
        <v>44</v>
      </c>
    </row>
    <row r="7" spans="1:10" x14ac:dyDescent="0.2">
      <c r="A7" t="s">
        <v>23</v>
      </c>
      <c r="B7" t="s">
        <v>20</v>
      </c>
      <c r="C7">
        <v>9671</v>
      </c>
      <c r="D7" t="s">
        <v>0</v>
      </c>
      <c r="E7">
        <v>7.3018190000000001</v>
      </c>
      <c r="F7" t="s">
        <v>1</v>
      </c>
      <c r="G7">
        <v>28.657447000000001</v>
      </c>
      <c r="H7" t="s">
        <v>52</v>
      </c>
      <c r="I7" t="s">
        <v>46</v>
      </c>
      <c r="J7" t="s">
        <v>44</v>
      </c>
    </row>
    <row r="8" spans="1:10" x14ac:dyDescent="0.2">
      <c r="A8" t="s">
        <v>23</v>
      </c>
      <c r="B8" t="s">
        <v>20</v>
      </c>
      <c r="C8">
        <v>10239</v>
      </c>
      <c r="D8" t="s">
        <v>0</v>
      </c>
      <c r="E8">
        <v>8.9660080000000004</v>
      </c>
      <c r="F8" t="s">
        <v>1</v>
      </c>
      <c r="G8">
        <v>32.444263999999997</v>
      </c>
      <c r="H8" t="s">
        <v>53</v>
      </c>
      <c r="I8" t="s">
        <v>46</v>
      </c>
      <c r="J8" t="s">
        <v>44</v>
      </c>
    </row>
    <row r="9" spans="1:10" x14ac:dyDescent="0.2">
      <c r="A9" t="s">
        <v>23</v>
      </c>
      <c r="B9" t="s">
        <v>20</v>
      </c>
      <c r="C9">
        <v>8848</v>
      </c>
      <c r="D9" t="s">
        <v>0</v>
      </c>
      <c r="E9">
        <v>7.1450529999999999</v>
      </c>
      <c r="F9" t="s">
        <v>1</v>
      </c>
      <c r="G9">
        <v>25.358167999999999</v>
      </c>
      <c r="H9" t="s">
        <v>54</v>
      </c>
      <c r="I9" t="s">
        <v>46</v>
      </c>
      <c r="J9" t="s">
        <v>44</v>
      </c>
    </row>
    <row r="10" spans="1:10" x14ac:dyDescent="0.2">
      <c r="A10" t="s">
        <v>23</v>
      </c>
      <c r="B10" t="s">
        <v>20</v>
      </c>
      <c r="C10">
        <v>10119</v>
      </c>
      <c r="D10" t="s">
        <v>0</v>
      </c>
      <c r="E10">
        <v>9.3891089999999995</v>
      </c>
      <c r="F10" t="s">
        <v>1</v>
      </c>
      <c r="G10">
        <v>30.402812000000001</v>
      </c>
      <c r="H10" t="s">
        <v>55</v>
      </c>
      <c r="I10" t="s">
        <v>46</v>
      </c>
      <c r="J10" t="s">
        <v>44</v>
      </c>
    </row>
    <row r="11" spans="1:10" x14ac:dyDescent="0.2">
      <c r="A11" t="s">
        <v>23</v>
      </c>
      <c r="B11" t="s">
        <v>20</v>
      </c>
      <c r="C11">
        <v>10624</v>
      </c>
      <c r="D11" t="s">
        <v>0</v>
      </c>
      <c r="E11">
        <v>8.1134550000000001</v>
      </c>
      <c r="F11" t="s">
        <v>1</v>
      </c>
      <c r="G11">
        <v>27.683558999999999</v>
      </c>
      <c r="H11" t="s">
        <v>56</v>
      </c>
      <c r="I11" t="s">
        <v>46</v>
      </c>
      <c r="J11" t="s">
        <v>44</v>
      </c>
    </row>
    <row r="12" spans="1:10" x14ac:dyDescent="0.2">
      <c r="A12" t="s">
        <v>23</v>
      </c>
      <c r="B12" t="s">
        <v>20</v>
      </c>
      <c r="C12">
        <v>9701</v>
      </c>
      <c r="D12" t="s">
        <v>0</v>
      </c>
      <c r="E12">
        <v>8.0420970000000001</v>
      </c>
      <c r="F12" t="s">
        <v>1</v>
      </c>
      <c r="G12">
        <v>28.868600000000001</v>
      </c>
      <c r="H12" t="s">
        <v>57</v>
      </c>
      <c r="I12" t="s">
        <v>46</v>
      </c>
      <c r="J12" t="s">
        <v>44</v>
      </c>
    </row>
    <row r="13" spans="1:10" x14ac:dyDescent="0.2">
      <c r="A13" t="s">
        <v>23</v>
      </c>
      <c r="B13" t="s">
        <v>20</v>
      </c>
      <c r="C13">
        <v>10206</v>
      </c>
      <c r="D13" t="s">
        <v>0</v>
      </c>
      <c r="E13">
        <v>7.6993710000000002</v>
      </c>
      <c r="F13" t="s">
        <v>1</v>
      </c>
      <c r="G13">
        <v>29.632045999999999</v>
      </c>
      <c r="H13" t="s">
        <v>58</v>
      </c>
      <c r="I13" t="s">
        <v>46</v>
      </c>
      <c r="J13" t="s">
        <v>44</v>
      </c>
    </row>
    <row r="14" spans="1:10" x14ac:dyDescent="0.2">
      <c r="A14" t="s">
        <v>23</v>
      </c>
      <c r="B14" t="s">
        <v>20</v>
      </c>
      <c r="C14">
        <v>10581</v>
      </c>
      <c r="D14" t="s">
        <v>0</v>
      </c>
      <c r="E14">
        <v>7.4944600000000001</v>
      </c>
      <c r="F14" t="s">
        <v>1</v>
      </c>
      <c r="G14">
        <v>36.543968999999997</v>
      </c>
      <c r="H14" t="s">
        <v>59</v>
      </c>
      <c r="I14" t="s">
        <v>46</v>
      </c>
      <c r="J14" t="s">
        <v>44</v>
      </c>
    </row>
    <row r="15" spans="1:10" x14ac:dyDescent="0.2">
      <c r="A15" t="s">
        <v>23</v>
      </c>
      <c r="B15" t="s">
        <v>20</v>
      </c>
      <c r="C15">
        <v>9715</v>
      </c>
      <c r="D15" t="s">
        <v>0</v>
      </c>
      <c r="E15">
        <v>7.1292059999999999</v>
      </c>
      <c r="F15" t="s">
        <v>1</v>
      </c>
      <c r="G15">
        <v>30.569958</v>
      </c>
      <c r="H15" t="s">
        <v>60</v>
      </c>
      <c r="I15" t="s">
        <v>46</v>
      </c>
      <c r="J15" t="s">
        <v>44</v>
      </c>
    </row>
    <row r="16" spans="1:10" x14ac:dyDescent="0.2">
      <c r="A16" t="s">
        <v>23</v>
      </c>
      <c r="B16" t="s">
        <v>20</v>
      </c>
      <c r="C16">
        <v>6955</v>
      </c>
      <c r="D16" t="s">
        <v>0</v>
      </c>
      <c r="E16">
        <v>7.5993510000000004</v>
      </c>
      <c r="F16" t="s">
        <v>1</v>
      </c>
      <c r="G16">
        <v>24.808685000000001</v>
      </c>
      <c r="H16" t="s">
        <v>61</v>
      </c>
      <c r="I16" t="s">
        <v>46</v>
      </c>
      <c r="J16" t="s">
        <v>44</v>
      </c>
    </row>
    <row r="17" spans="1:10" x14ac:dyDescent="0.2">
      <c r="A17" t="s">
        <v>23</v>
      </c>
      <c r="B17" t="s">
        <v>20</v>
      </c>
      <c r="C17">
        <v>9709</v>
      </c>
      <c r="D17" t="s">
        <v>0</v>
      </c>
      <c r="E17">
        <v>8.3277739999999998</v>
      </c>
      <c r="F17" t="s">
        <v>1</v>
      </c>
      <c r="G17">
        <v>28.471824000000002</v>
      </c>
      <c r="H17" t="s">
        <v>62</v>
      </c>
      <c r="I17" t="s">
        <v>46</v>
      </c>
      <c r="J17" t="s">
        <v>44</v>
      </c>
    </row>
    <row r="18" spans="1:10" x14ac:dyDescent="0.2">
      <c r="A18" t="s">
        <v>23</v>
      </c>
      <c r="B18" t="s">
        <v>20</v>
      </c>
      <c r="C18">
        <v>15245</v>
      </c>
      <c r="D18" t="s">
        <v>0</v>
      </c>
      <c r="E18">
        <v>8.0340109999999996</v>
      </c>
      <c r="F18" t="s">
        <v>1</v>
      </c>
      <c r="G18">
        <v>33.882677000000001</v>
      </c>
      <c r="H18" t="s">
        <v>63</v>
      </c>
      <c r="I18" t="s">
        <v>46</v>
      </c>
      <c r="J18" t="s">
        <v>44</v>
      </c>
    </row>
    <row r="19" spans="1:10" x14ac:dyDescent="0.2">
      <c r="A19" t="s">
        <v>23</v>
      </c>
      <c r="B19" t="s">
        <v>20</v>
      </c>
      <c r="C19">
        <v>9494</v>
      </c>
      <c r="D19" t="s">
        <v>0</v>
      </c>
      <c r="E19">
        <v>7.2680870000000004</v>
      </c>
      <c r="F19" t="s">
        <v>1</v>
      </c>
      <c r="G19">
        <v>31.044297</v>
      </c>
      <c r="H19" t="s">
        <v>64</v>
      </c>
      <c r="I19" t="s">
        <v>46</v>
      </c>
      <c r="J19" t="s">
        <v>44</v>
      </c>
    </row>
    <row r="20" spans="1:10" x14ac:dyDescent="0.2">
      <c r="A20" t="s">
        <v>23</v>
      </c>
      <c r="B20" t="s">
        <v>20</v>
      </c>
      <c r="C20">
        <v>11867</v>
      </c>
      <c r="D20" t="s">
        <v>0</v>
      </c>
      <c r="E20">
        <v>7.6677</v>
      </c>
      <c r="F20" t="s">
        <v>1</v>
      </c>
      <c r="G20">
        <v>31.151057000000002</v>
      </c>
      <c r="H20" t="s">
        <v>65</v>
      </c>
      <c r="I20" t="s">
        <v>46</v>
      </c>
      <c r="J20" t="s">
        <v>44</v>
      </c>
    </row>
    <row r="21" spans="1:10" x14ac:dyDescent="0.2">
      <c r="A21" t="s">
        <v>23</v>
      </c>
      <c r="B21" t="s">
        <v>20</v>
      </c>
      <c r="C21">
        <v>9687</v>
      </c>
      <c r="D21" t="s">
        <v>0</v>
      </c>
      <c r="E21">
        <v>9.2962900000000008</v>
      </c>
      <c r="F21" t="s">
        <v>1</v>
      </c>
      <c r="G21">
        <v>29.122398</v>
      </c>
      <c r="H21" t="s">
        <v>66</v>
      </c>
      <c r="I21" t="s">
        <v>46</v>
      </c>
      <c r="J21" t="s">
        <v>44</v>
      </c>
    </row>
    <row r="22" spans="1:10" x14ac:dyDescent="0.2">
      <c r="A22" t="s">
        <v>23</v>
      </c>
      <c r="B22" t="s">
        <v>20</v>
      </c>
      <c r="C22">
        <v>6970</v>
      </c>
      <c r="D22" t="s">
        <v>0</v>
      </c>
      <c r="E22">
        <v>6.6779310000000001</v>
      </c>
      <c r="F22" t="s">
        <v>1</v>
      </c>
      <c r="G22">
        <v>27.352848000000002</v>
      </c>
      <c r="H22" t="s">
        <v>67</v>
      </c>
      <c r="I22" t="s">
        <v>46</v>
      </c>
      <c r="J22" t="s">
        <v>44</v>
      </c>
    </row>
    <row r="23" spans="1:10" x14ac:dyDescent="0.2">
      <c r="A23" t="s">
        <v>23</v>
      </c>
      <c r="B23" t="s">
        <v>20</v>
      </c>
      <c r="C23">
        <v>9692</v>
      </c>
      <c r="D23" t="s">
        <v>0</v>
      </c>
      <c r="E23">
        <v>7.0939810000000003</v>
      </c>
      <c r="F23" t="s">
        <v>1</v>
      </c>
      <c r="G23">
        <v>27.568888000000001</v>
      </c>
      <c r="H23" t="s">
        <v>68</v>
      </c>
      <c r="I23" t="s">
        <v>46</v>
      </c>
      <c r="J23" t="s">
        <v>44</v>
      </c>
    </row>
    <row r="24" spans="1:10" x14ac:dyDescent="0.2">
      <c r="A24" t="s">
        <v>23</v>
      </c>
      <c r="B24" t="s">
        <v>20</v>
      </c>
      <c r="C24">
        <v>15594</v>
      </c>
      <c r="D24" t="s">
        <v>0</v>
      </c>
      <c r="E24">
        <v>7.552441</v>
      </c>
      <c r="F24" t="s">
        <v>1</v>
      </c>
      <c r="G24">
        <v>37.389966000000001</v>
      </c>
      <c r="H24" t="s">
        <v>69</v>
      </c>
      <c r="I24" t="s">
        <v>46</v>
      </c>
      <c r="J24" t="s">
        <v>44</v>
      </c>
    </row>
    <row r="25" spans="1:10" x14ac:dyDescent="0.2">
      <c r="A25" t="s">
        <v>23</v>
      </c>
      <c r="B25" t="s">
        <v>20</v>
      </c>
      <c r="C25">
        <v>9743</v>
      </c>
      <c r="D25" t="s">
        <v>0</v>
      </c>
      <c r="E25">
        <v>8.5955480000000009</v>
      </c>
      <c r="F25" t="s">
        <v>1</v>
      </c>
      <c r="G25">
        <v>26.737199</v>
      </c>
      <c r="H25" t="s">
        <v>70</v>
      </c>
      <c r="I25" t="s">
        <v>46</v>
      </c>
      <c r="J25" t="s">
        <v>44</v>
      </c>
    </row>
    <row r="26" spans="1:10" x14ac:dyDescent="0.2">
      <c r="A26" t="s">
        <v>23</v>
      </c>
      <c r="B26" t="s">
        <v>20</v>
      </c>
      <c r="C26">
        <v>10137</v>
      </c>
      <c r="D26" t="s">
        <v>0</v>
      </c>
      <c r="E26">
        <v>6.7557029999999996</v>
      </c>
      <c r="F26" t="s">
        <v>1</v>
      </c>
      <c r="G26">
        <v>33.896211999999998</v>
      </c>
      <c r="H26" t="s">
        <v>71</v>
      </c>
      <c r="I26" t="s">
        <v>46</v>
      </c>
      <c r="J26" t="s">
        <v>44</v>
      </c>
    </row>
    <row r="27" spans="1:10" x14ac:dyDescent="0.2">
      <c r="A27" t="s">
        <v>23</v>
      </c>
      <c r="B27" t="s">
        <v>20</v>
      </c>
      <c r="C27">
        <v>12737</v>
      </c>
      <c r="D27" t="s">
        <v>0</v>
      </c>
      <c r="E27">
        <v>7.02386</v>
      </c>
      <c r="F27" t="s">
        <v>1</v>
      </c>
      <c r="G27">
        <v>30.805221</v>
      </c>
      <c r="H27" t="s">
        <v>72</v>
      </c>
      <c r="I27" t="s">
        <v>46</v>
      </c>
      <c r="J27" t="s">
        <v>44</v>
      </c>
    </row>
    <row r="28" spans="1:10" x14ac:dyDescent="0.2">
      <c r="A28" t="s">
        <v>23</v>
      </c>
      <c r="B28" t="s">
        <v>20</v>
      </c>
      <c r="C28">
        <v>10691</v>
      </c>
      <c r="D28" t="s">
        <v>0</v>
      </c>
      <c r="E28">
        <v>7.3640129999999999</v>
      </c>
      <c r="F28" t="s">
        <v>1</v>
      </c>
      <c r="G28">
        <v>34.125129999999999</v>
      </c>
      <c r="H28" t="s">
        <v>73</v>
      </c>
      <c r="I28" t="s">
        <v>46</v>
      </c>
      <c r="J28" t="s">
        <v>44</v>
      </c>
    </row>
    <row r="29" spans="1:10" x14ac:dyDescent="0.2">
      <c r="A29" t="s">
        <v>23</v>
      </c>
      <c r="B29" t="s">
        <v>20</v>
      </c>
      <c r="C29">
        <v>9226</v>
      </c>
      <c r="D29" t="s">
        <v>0</v>
      </c>
      <c r="E29">
        <v>8.2400839999999995</v>
      </c>
      <c r="F29" t="s">
        <v>1</v>
      </c>
      <c r="G29">
        <v>27.226828000000001</v>
      </c>
      <c r="H29" t="s">
        <v>74</v>
      </c>
      <c r="I29" t="s">
        <v>46</v>
      </c>
      <c r="J29" t="s">
        <v>44</v>
      </c>
    </row>
    <row r="30" spans="1:10" x14ac:dyDescent="0.2">
      <c r="A30" t="s">
        <v>23</v>
      </c>
      <c r="B30" t="s">
        <v>20</v>
      </c>
      <c r="C30">
        <v>9849</v>
      </c>
      <c r="D30" t="s">
        <v>0</v>
      </c>
      <c r="E30">
        <v>8.0872910000000005</v>
      </c>
      <c r="F30" t="s">
        <v>1</v>
      </c>
      <c r="G30">
        <v>28.169651000000002</v>
      </c>
      <c r="H30" t="s">
        <v>75</v>
      </c>
      <c r="I30" t="s">
        <v>46</v>
      </c>
      <c r="J30" t="s">
        <v>44</v>
      </c>
    </row>
    <row r="31" spans="1:10" x14ac:dyDescent="0.2">
      <c r="A31" t="s">
        <v>23</v>
      </c>
      <c r="B31" t="s">
        <v>20</v>
      </c>
      <c r="C31">
        <v>9886</v>
      </c>
      <c r="D31" t="s">
        <v>0</v>
      </c>
      <c r="E31">
        <v>7.2776750000000003</v>
      </c>
      <c r="F31" t="s">
        <v>1</v>
      </c>
      <c r="G31">
        <v>28.260618999999998</v>
      </c>
      <c r="H31" t="s">
        <v>76</v>
      </c>
      <c r="I31" t="s">
        <v>46</v>
      </c>
      <c r="J31" t="s">
        <v>44</v>
      </c>
    </row>
    <row r="32" spans="1:10" x14ac:dyDescent="0.2">
      <c r="A32" t="s">
        <v>23</v>
      </c>
      <c r="B32" t="s">
        <v>20</v>
      </c>
      <c r="C32">
        <v>9820</v>
      </c>
      <c r="D32" t="s">
        <v>0</v>
      </c>
      <c r="E32">
        <v>7.3822109999999999</v>
      </c>
      <c r="F32" t="s">
        <v>1</v>
      </c>
      <c r="G32">
        <v>29.947317999999999</v>
      </c>
      <c r="H32" t="s">
        <v>77</v>
      </c>
      <c r="I32" t="s">
        <v>46</v>
      </c>
      <c r="J32" t="s">
        <v>44</v>
      </c>
    </row>
    <row r="33" spans="1:10" x14ac:dyDescent="0.2">
      <c r="A33" t="s">
        <v>23</v>
      </c>
      <c r="B33" t="s">
        <v>20</v>
      </c>
      <c r="C33">
        <v>10073</v>
      </c>
      <c r="D33" t="s">
        <v>0</v>
      </c>
      <c r="E33">
        <v>7.3312059999999999</v>
      </c>
      <c r="F33" t="s">
        <v>1</v>
      </c>
      <c r="G33">
        <v>29.707557000000001</v>
      </c>
      <c r="H33" t="s">
        <v>78</v>
      </c>
      <c r="I33" t="s">
        <v>46</v>
      </c>
      <c r="J33" t="s">
        <v>44</v>
      </c>
    </row>
    <row r="34" spans="1:10" x14ac:dyDescent="0.2">
      <c r="A34" t="s">
        <v>23</v>
      </c>
      <c r="B34" t="s">
        <v>20</v>
      </c>
      <c r="C34">
        <v>9709</v>
      </c>
      <c r="D34" t="s">
        <v>0</v>
      </c>
      <c r="E34">
        <v>6.3124279999999997</v>
      </c>
      <c r="F34" t="s">
        <v>1</v>
      </c>
      <c r="G34">
        <v>30.613896</v>
      </c>
      <c r="H34" t="s">
        <v>79</v>
      </c>
      <c r="I34" t="s">
        <v>46</v>
      </c>
      <c r="J34" t="s">
        <v>44</v>
      </c>
    </row>
    <row r="35" spans="1:10" x14ac:dyDescent="0.2">
      <c r="A35" t="s">
        <v>23</v>
      </c>
      <c r="B35" t="s">
        <v>20</v>
      </c>
      <c r="C35">
        <v>9675</v>
      </c>
      <c r="D35" t="s">
        <v>0</v>
      </c>
      <c r="E35">
        <v>7.3482820000000002</v>
      </c>
      <c r="F35" t="s">
        <v>1</v>
      </c>
      <c r="G35">
        <v>28.539059000000002</v>
      </c>
      <c r="H35" t="s">
        <v>80</v>
      </c>
      <c r="I35" t="s">
        <v>46</v>
      </c>
      <c r="J35" t="s">
        <v>44</v>
      </c>
    </row>
    <row r="36" spans="1:10" x14ac:dyDescent="0.2">
      <c r="A36" t="s">
        <v>23</v>
      </c>
      <c r="B36" t="s">
        <v>20</v>
      </c>
      <c r="C36">
        <v>11200</v>
      </c>
      <c r="D36" t="s">
        <v>0</v>
      </c>
      <c r="E36">
        <v>7.3487239999999998</v>
      </c>
      <c r="F36" t="s">
        <v>1</v>
      </c>
      <c r="G36">
        <v>30.671323000000001</v>
      </c>
      <c r="H36" t="s">
        <v>81</v>
      </c>
      <c r="I36" t="s">
        <v>46</v>
      </c>
      <c r="J36" t="s">
        <v>44</v>
      </c>
    </row>
    <row r="37" spans="1:10" x14ac:dyDescent="0.2">
      <c r="A37" t="s">
        <v>23</v>
      </c>
      <c r="B37" t="s">
        <v>20</v>
      </c>
      <c r="C37">
        <v>9906</v>
      </c>
      <c r="D37" t="s">
        <v>0</v>
      </c>
      <c r="E37">
        <v>7.7508429999999997</v>
      </c>
      <c r="F37" t="s">
        <v>1</v>
      </c>
      <c r="G37">
        <v>25.946334</v>
      </c>
      <c r="H37" t="s">
        <v>82</v>
      </c>
      <c r="I37" t="s">
        <v>46</v>
      </c>
      <c r="J37" t="s">
        <v>44</v>
      </c>
    </row>
    <row r="38" spans="1:10" x14ac:dyDescent="0.2">
      <c r="A38" t="s">
        <v>23</v>
      </c>
      <c r="B38" t="s">
        <v>20</v>
      </c>
      <c r="C38">
        <v>9524</v>
      </c>
      <c r="D38" t="s">
        <v>0</v>
      </c>
      <c r="E38">
        <v>7.6644620000000003</v>
      </c>
      <c r="F38" t="s">
        <v>1</v>
      </c>
      <c r="G38">
        <v>34.472630000000002</v>
      </c>
      <c r="H38" t="s">
        <v>83</v>
      </c>
      <c r="I38" t="s">
        <v>46</v>
      </c>
      <c r="J38" t="s">
        <v>44</v>
      </c>
    </row>
    <row r="39" spans="1:10" x14ac:dyDescent="0.2">
      <c r="A39" t="s">
        <v>23</v>
      </c>
      <c r="B39" t="s">
        <v>20</v>
      </c>
      <c r="C39">
        <v>10065</v>
      </c>
      <c r="D39" t="s">
        <v>0</v>
      </c>
      <c r="E39">
        <v>7.7164820000000001</v>
      </c>
      <c r="F39" t="s">
        <v>1</v>
      </c>
      <c r="G39">
        <v>26.373595999999999</v>
      </c>
      <c r="H39" t="s">
        <v>84</v>
      </c>
      <c r="I39" t="s">
        <v>46</v>
      </c>
      <c r="J39" t="s">
        <v>44</v>
      </c>
    </row>
    <row r="40" spans="1:10" x14ac:dyDescent="0.2">
      <c r="A40" t="s">
        <v>23</v>
      </c>
      <c r="B40" t="s">
        <v>20</v>
      </c>
      <c r="C40">
        <v>9456</v>
      </c>
      <c r="D40" t="s">
        <v>0</v>
      </c>
      <c r="E40">
        <v>7.3413709999999996</v>
      </c>
      <c r="F40" t="s">
        <v>1</v>
      </c>
      <c r="G40">
        <v>24.333576999999998</v>
      </c>
      <c r="H40" t="s">
        <v>85</v>
      </c>
      <c r="I40" t="s">
        <v>46</v>
      </c>
      <c r="J40" t="s">
        <v>44</v>
      </c>
    </row>
    <row r="41" spans="1:10" x14ac:dyDescent="0.2">
      <c r="A41" t="s">
        <v>23</v>
      </c>
      <c r="B41" t="s">
        <v>20</v>
      </c>
      <c r="C41">
        <v>14110</v>
      </c>
      <c r="D41" t="s">
        <v>0</v>
      </c>
      <c r="E41">
        <v>11.973324</v>
      </c>
      <c r="F41" t="s">
        <v>1</v>
      </c>
      <c r="G41">
        <v>30.403911999999998</v>
      </c>
      <c r="H41" t="s">
        <v>86</v>
      </c>
      <c r="I41" t="s">
        <v>46</v>
      </c>
      <c r="J41" t="s">
        <v>44</v>
      </c>
    </row>
    <row r="42" spans="1:10" x14ac:dyDescent="0.2">
      <c r="A42" t="s">
        <v>23</v>
      </c>
      <c r="B42" t="s">
        <v>20</v>
      </c>
      <c r="C42">
        <v>11120</v>
      </c>
      <c r="D42" t="s">
        <v>0</v>
      </c>
      <c r="E42">
        <v>8.2219859999999994</v>
      </c>
      <c r="F42" t="s">
        <v>1</v>
      </c>
      <c r="G42">
        <v>33.952105000000003</v>
      </c>
      <c r="H42" t="s">
        <v>87</v>
      </c>
      <c r="I42" t="s">
        <v>46</v>
      </c>
      <c r="J42" t="s">
        <v>44</v>
      </c>
    </row>
    <row r="43" spans="1:10" x14ac:dyDescent="0.2">
      <c r="A43" t="s">
        <v>23</v>
      </c>
      <c r="B43" t="s">
        <v>20</v>
      </c>
      <c r="C43">
        <v>11650</v>
      </c>
      <c r="D43" t="s">
        <v>0</v>
      </c>
      <c r="E43">
        <v>7.7252530000000004</v>
      </c>
      <c r="F43" t="s">
        <v>1</v>
      </c>
      <c r="G43">
        <v>27.583784999999999</v>
      </c>
      <c r="H43" t="s">
        <v>88</v>
      </c>
      <c r="I43" t="s">
        <v>46</v>
      </c>
      <c r="J43" t="s">
        <v>44</v>
      </c>
    </row>
    <row r="44" spans="1:10" x14ac:dyDescent="0.2">
      <c r="A44" t="s">
        <v>23</v>
      </c>
      <c r="B44" t="s">
        <v>20</v>
      </c>
      <c r="C44">
        <v>9845</v>
      </c>
      <c r="D44" t="s">
        <v>0</v>
      </c>
      <c r="E44">
        <v>7.2372589999999999</v>
      </c>
      <c r="F44" t="s">
        <v>1</v>
      </c>
      <c r="G44">
        <v>27.181818</v>
      </c>
      <c r="H44" t="s">
        <v>89</v>
      </c>
      <c r="I44" t="s">
        <v>46</v>
      </c>
      <c r="J44" t="s">
        <v>44</v>
      </c>
    </row>
    <row r="45" spans="1:10" x14ac:dyDescent="0.2">
      <c r="A45" t="s">
        <v>23</v>
      </c>
      <c r="B45" t="s">
        <v>20</v>
      </c>
      <c r="C45">
        <v>10507</v>
      </c>
      <c r="D45" t="s">
        <v>0</v>
      </c>
      <c r="E45">
        <v>7.0857299999999999</v>
      </c>
      <c r="F45" t="s">
        <v>1</v>
      </c>
      <c r="G45">
        <v>29.931616000000002</v>
      </c>
      <c r="H45" t="s">
        <v>90</v>
      </c>
      <c r="I45" t="s">
        <v>46</v>
      </c>
      <c r="J45" t="s">
        <v>44</v>
      </c>
    </row>
    <row r="46" spans="1:10" x14ac:dyDescent="0.2">
      <c r="A46" t="s">
        <v>23</v>
      </c>
      <c r="B46" t="s">
        <v>20</v>
      </c>
      <c r="C46">
        <v>9898</v>
      </c>
      <c r="D46" t="s">
        <v>0</v>
      </c>
      <c r="E46">
        <v>6.9748849999999996</v>
      </c>
      <c r="F46" t="s">
        <v>1</v>
      </c>
      <c r="G46">
        <v>29.516387000000002</v>
      </c>
      <c r="H46" t="s">
        <v>91</v>
      </c>
      <c r="I46" t="s">
        <v>46</v>
      </c>
      <c r="J46" t="s">
        <v>44</v>
      </c>
    </row>
    <row r="47" spans="1:10" x14ac:dyDescent="0.2">
      <c r="A47" t="s">
        <v>23</v>
      </c>
      <c r="B47" t="s">
        <v>20</v>
      </c>
      <c r="C47">
        <v>9572</v>
      </c>
      <c r="D47" t="s">
        <v>0</v>
      </c>
      <c r="E47">
        <v>6.5429190000000004</v>
      </c>
      <c r="F47" t="s">
        <v>1</v>
      </c>
      <c r="G47">
        <v>27.995127</v>
      </c>
      <c r="H47" t="s">
        <v>92</v>
      </c>
      <c r="I47" t="s">
        <v>46</v>
      </c>
      <c r="J47" t="s">
        <v>44</v>
      </c>
    </row>
    <row r="48" spans="1:10" x14ac:dyDescent="0.2">
      <c r="A48" t="s">
        <v>23</v>
      </c>
      <c r="B48" t="s">
        <v>20</v>
      </c>
      <c r="C48">
        <v>10484</v>
      </c>
      <c r="D48" t="s">
        <v>0</v>
      </c>
      <c r="E48">
        <v>7.1449410000000002</v>
      </c>
      <c r="F48" t="s">
        <v>1</v>
      </c>
      <c r="G48">
        <v>28.271982000000001</v>
      </c>
      <c r="H48" t="s">
        <v>93</v>
      </c>
      <c r="I48" t="s">
        <v>46</v>
      </c>
      <c r="J48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2022-12-06T17:39:17Z</dcterms:modified>
</cp:coreProperties>
</file>