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13_ncr:1_{BE93D8A7-EFD7-6844-97E7-A5054A4726D0}" xr6:coauthVersionLast="47" xr6:coauthVersionMax="47" xr10:uidLastSave="{00000000-0000-0000-0000-000000000000}"/>
  <bookViews>
    <workbookView xWindow="34720" yWindow="1028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" l="1"/>
  <c r="B6" i="5"/>
  <c r="C6" i="5"/>
  <c r="D6" i="5"/>
  <c r="G6" i="5"/>
  <c r="H6" i="5"/>
  <c r="K6" i="5"/>
  <c r="L6" i="5"/>
  <c r="M6" i="5" s="1"/>
  <c r="O6" i="5"/>
  <c r="P6" i="5"/>
  <c r="Q6" i="5" s="1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Q8" i="5" s="1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E10" i="5" s="1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I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M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P5" i="5"/>
  <c r="O5" i="5"/>
  <c r="L5" i="5"/>
  <c r="K5" i="5"/>
  <c r="H5" i="5"/>
  <c r="G5" i="5"/>
  <c r="D5" i="5"/>
  <c r="C5" i="5"/>
  <c r="B5" i="5"/>
  <c r="A5" i="5"/>
  <c r="B2" i="5"/>
  <c r="B1" i="5"/>
  <c r="I7" i="5" l="1"/>
  <c r="Q21" i="5"/>
  <c r="I9" i="5"/>
  <c r="E12" i="5"/>
  <c r="M16" i="5"/>
  <c r="I19" i="5"/>
  <c r="M7" i="5"/>
  <c r="E13" i="5"/>
  <c r="Q20" i="5"/>
  <c r="Q18" i="5"/>
  <c r="Q7" i="5"/>
  <c r="I18" i="5"/>
  <c r="E15" i="5"/>
  <c r="Q14" i="5"/>
  <c r="E7" i="5"/>
  <c r="Q17" i="5"/>
  <c r="M20" i="5"/>
  <c r="Q12" i="5"/>
  <c r="I13" i="5"/>
  <c r="E14" i="5"/>
  <c r="E17" i="5"/>
  <c r="M15" i="5"/>
  <c r="I10" i="5"/>
  <c r="E6" i="5"/>
  <c r="M10" i="5"/>
  <c r="E20" i="5"/>
  <c r="I11" i="5"/>
  <c r="E21" i="5"/>
  <c r="Q19" i="5"/>
  <c r="Q13" i="5"/>
  <c r="I12" i="5"/>
  <c r="E9" i="5"/>
  <c r="Q16" i="5"/>
  <c r="E16" i="5"/>
  <c r="I15" i="5"/>
  <c r="I20" i="5"/>
  <c r="M17" i="5"/>
  <c r="E11" i="5"/>
  <c r="M21" i="5"/>
  <c r="Q9" i="5"/>
  <c r="I21" i="5"/>
  <c r="M11" i="5"/>
  <c r="M9" i="5"/>
  <c r="M8" i="5"/>
  <c r="Q10" i="5"/>
  <c r="Q11" i="5"/>
  <c r="E18" i="5"/>
  <c r="I8" i="5"/>
  <c r="M14" i="5"/>
  <c r="Q15" i="5"/>
  <c r="I6" i="5"/>
  <c r="E8" i="5"/>
  <c r="E19" i="5"/>
  <c r="M12" i="5"/>
  <c r="I16" i="5"/>
  <c r="M18" i="5"/>
  <c r="I17" i="5"/>
  <c r="M13" i="5"/>
  <c r="M5" i="5"/>
  <c r="E5" i="5"/>
  <c r="I5" i="5"/>
  <c r="Q5" i="5"/>
  <c r="I27" i="5" l="1"/>
  <c r="Q27" i="5"/>
  <c r="M27" i="5"/>
  <c r="E27" i="5"/>
  <c r="T14" i="5"/>
  <c r="U7" i="5"/>
  <c r="T7" i="5"/>
  <c r="V20" i="5"/>
  <c r="V7" i="5"/>
  <c r="V18" i="5"/>
  <c r="T10" i="5"/>
  <c r="U20" i="5"/>
  <c r="T20" i="5"/>
  <c r="V14" i="5"/>
  <c r="T9" i="5"/>
  <c r="U9" i="5"/>
  <c r="V9" i="5"/>
  <c r="V21" i="5"/>
  <c r="V6" i="5"/>
  <c r="V13" i="5"/>
  <c r="U12" i="5"/>
  <c r="T18" i="5"/>
  <c r="U8" i="5"/>
  <c r="U19" i="5"/>
  <c r="V16" i="5"/>
  <c r="T12" i="5"/>
  <c r="T17" i="5"/>
  <c r="T8" i="5"/>
  <c r="T21" i="5"/>
  <c r="V8" i="5"/>
  <c r="V10" i="5"/>
  <c r="U21" i="5"/>
  <c r="U10" i="5"/>
  <c r="T16" i="5"/>
  <c r="V17" i="5"/>
  <c r="U18" i="5"/>
  <c r="T11" i="5"/>
  <c r="V12" i="5"/>
  <c r="T15" i="5"/>
  <c r="U13" i="5"/>
  <c r="U17" i="5"/>
  <c r="V15" i="5"/>
  <c r="T6" i="5"/>
  <c r="U16" i="5"/>
  <c r="U6" i="5"/>
  <c r="T19" i="5"/>
  <c r="T13" i="5"/>
  <c r="V19" i="5"/>
  <c r="U15" i="5"/>
  <c r="U14" i="5"/>
  <c r="V11" i="5"/>
  <c r="U11" i="5"/>
  <c r="V5" i="5"/>
  <c r="T5" i="5"/>
  <c r="U5" i="5"/>
  <c r="F9" i="5" l="1"/>
  <c r="R9" i="5"/>
  <c r="N9" i="5"/>
  <c r="J9" i="5"/>
  <c r="F7" i="5"/>
  <c r="N7" i="5"/>
  <c r="J7" i="5"/>
  <c r="R7" i="5"/>
  <c r="R18" i="5"/>
  <c r="N18" i="5"/>
  <c r="J18" i="5"/>
  <c r="F17" i="5"/>
  <c r="R17" i="5"/>
  <c r="N17" i="5"/>
  <c r="J17" i="5"/>
  <c r="F12" i="5"/>
  <c r="J12" i="5"/>
  <c r="R12" i="5"/>
  <c r="N12" i="5"/>
  <c r="F20" i="5"/>
  <c r="N20" i="5"/>
  <c r="R20" i="5"/>
  <c r="J20" i="5"/>
  <c r="N13" i="5"/>
  <c r="R13" i="5"/>
  <c r="J13" i="5"/>
  <c r="F10" i="5"/>
  <c r="R10" i="5"/>
  <c r="N10" i="5"/>
  <c r="J10" i="5"/>
  <c r="F14" i="5"/>
  <c r="R14" i="5"/>
  <c r="N14" i="5"/>
  <c r="J14" i="5"/>
  <c r="F21" i="5"/>
  <c r="R21" i="5"/>
  <c r="N21" i="5"/>
  <c r="J21" i="5"/>
  <c r="J5" i="5"/>
  <c r="R5" i="5"/>
  <c r="N5" i="5"/>
  <c r="F8" i="5"/>
  <c r="R8" i="5"/>
  <c r="N8" i="5"/>
  <c r="J8" i="5"/>
  <c r="F11" i="5"/>
  <c r="J11" i="5"/>
  <c r="R11" i="5"/>
  <c r="N11" i="5"/>
  <c r="F6" i="5"/>
  <c r="J6" i="5"/>
  <c r="R6" i="5"/>
  <c r="N6" i="5"/>
  <c r="J19" i="5"/>
  <c r="R19" i="5"/>
  <c r="N19" i="5"/>
  <c r="F15" i="5"/>
  <c r="R15" i="5"/>
  <c r="N15" i="5"/>
  <c r="J15" i="5"/>
  <c r="F16" i="5"/>
  <c r="R16" i="5"/>
  <c r="N16" i="5"/>
  <c r="J16" i="5"/>
  <c r="F5" i="5"/>
  <c r="F13" i="5"/>
  <c r="F19" i="5"/>
  <c r="F18" i="5"/>
  <c r="M25" i="5" l="1"/>
  <c r="M24" i="5"/>
  <c r="E25" i="5"/>
  <c r="E24" i="5"/>
  <c r="Q25" i="5"/>
  <c r="Q24" i="5"/>
  <c r="I25" i="5"/>
  <c r="I24" i="5"/>
  <c r="B25" i="5" l="1"/>
  <c r="B2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<sst xmlns="http://schemas.openxmlformats.org/spreadsheetml/2006/main" count="523" uniqueCount="63">
  <si>
    <t>IN</t>
  </si>
  <si>
    <t>OUT</t>
  </si>
  <si>
    <t>beschikbaarstellen_medicatiegegevens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</si>
  <si>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</si>
  <si>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</si>
  <si>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</si>
  <si>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</si>
  <si>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</si>
  <si>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</si>
  <si>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</si>
  <si>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</si>
  <si>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</si>
  <si>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</si>
  <si>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</si>
  <si>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</si>
  <si>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</si>
  <si>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</si>
  <si>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</si>
  <si>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</si>
  <si>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</si>
  <si>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</si>
  <si>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</si>
  <si>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</si>
  <si>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</si>
  <si>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</si>
  <si>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</si>
  <si>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</si>
  <si>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</si>
  <si>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</si>
  <si>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</si>
  <si>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</si>
  <si>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</si>
  <si>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</si>
  <si>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</si>
  <si>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</si>
  <si>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</si>
  <si>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</si>
  <si>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</si>
  <si>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</si>
  <si>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</si>
  <si>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</si>
  <si>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</si>
  <si>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</si>
  <si>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</si>
  <si>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</si>
  <si>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mg-TEST-Scenarioset0-v20.xml</t>
  </si>
  <si>
    <t>hl7_9.2.0_2_fhir_9.2.0</t>
  </si>
  <si>
    <t>mg-TEST-Scenarioset1-v20.xml</t>
  </si>
  <si>
    <t>mg-TEST-Scenarioset10-v20.xml</t>
  </si>
  <si>
    <t>mg-TEST-Scenarioset11-v20.xml</t>
  </si>
  <si>
    <t>mg-TEST-Scenarioset11NEW-v20.xml</t>
  </si>
  <si>
    <t>mg-TEST-Scenarioset13-v20.xml</t>
  </si>
  <si>
    <t>mg-TEST-Scenarioset2-v20.xml</t>
  </si>
  <si>
    <t>mg-TEST-Scenarioset3-v20.xml</t>
  </si>
  <si>
    <t>mg-TEST-Scenarioset4_a-v20.xml</t>
  </si>
  <si>
    <t>mg-TEST-Scenarioset4_b-v20.xml</t>
  </si>
  <si>
    <t>mg-TEST-Scenarioset5-v20.xml</t>
  </si>
  <si>
    <t>mg-TEST-Scenarioset6a-v20.xml</t>
  </si>
  <si>
    <t>mg-TEST-Scenarioset6b-v20.xml</t>
  </si>
  <si>
    <t>mg-TEST-Scenarioset6c-v20.xml</t>
  </si>
  <si>
    <t>mg-TEST-Scenarioset6d-v20.xml</t>
  </si>
  <si>
    <t>mg-TEST-Scenarioset7-v20.xml</t>
  </si>
  <si>
    <t>mg-TEST-Scenarioset9-v20.xml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</si>
</sst>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31"/>
  <sheetViews>
    <sheetView tabSelected="1" workbookViewId="0">
      <selection activeCell="A37" sqref="A37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4.5" style="2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26</v>
      </c>
      <c r="B1" t="str">
        <f>'9.7.0.18'!I1</f>
        <v>beschikbaarstellen_medicatiegegevens</v>
      </c>
    </row>
    <row r="2" spans="1:22" x14ac:dyDescent="0.2">
      <c r="A2" t="s">
        <v>27</v>
      </c>
      <c r="B2" t="str">
        <f>'9.7.0.18'!J1</f>
        <v>hl7_9.2.0_2_fhir_9.2.0</v>
      </c>
    </row>
    <row r="3" spans="1:22" x14ac:dyDescent="0.2">
      <c r="C3" t="s">
        <v>4</v>
      </c>
      <c r="G3" t="s">
        <v>25</v>
      </c>
      <c r="K3" t="s">
        <v>8</v>
      </c>
      <c r="O3" t="s">
        <v>9</v>
      </c>
    </row>
    <row r="4" spans="1:22" x14ac:dyDescent="0.2">
      <c r="A4" t="s">
        <v>3</v>
      </c>
      <c r="B4" t="s">
        <v>34</v>
      </c>
      <c r="C4" t="s">
        <v>5</v>
      </c>
      <c r="D4" t="s">
        <v>6</v>
      </c>
      <c r="E4" s="2" t="s">
        <v>7</v>
      </c>
      <c r="G4" t="s">
        <v>5</v>
      </c>
      <c r="H4" t="s">
        <v>6</v>
      </c>
      <c r="I4" s="2" t="s">
        <v>7</v>
      </c>
      <c r="K4" t="s">
        <v>5</v>
      </c>
      <c r="L4" t="s">
        <v>6</v>
      </c>
      <c r="M4" s="2" t="s">
        <v>7</v>
      </c>
      <c r="O4" t="s">
        <v>5</v>
      </c>
      <c r="P4" t="s">
        <v>6</v>
      </c>
      <c r="Q4" s="2" t="s">
        <v>7</v>
      </c>
      <c r="T4" s="2" t="s">
        <v>11</v>
      </c>
      <c r="U4" s="2" t="s">
        <v>12</v>
      </c>
      <c r="V4" s="2" t="s">
        <v>10</v>
      </c>
    </row>
    <row r="5" spans="1:22" x14ac:dyDescent="0.2">
      <c r="A5" t="str">
        <f>'9.7.0.18'!$H1</f>
        <v>mg-TEST-Scenarioset0-v20.xml</v>
      </c>
      <c r="B5" s="5">
        <f>'9.7.0.18'!$C1</f>
        <v>157211</v>
      </c>
      <c r="C5" s="1">
        <f>'9.7.0.18'!$E1</f>
        <v>37.144969000000003</v>
      </c>
      <c r="D5" s="1">
        <f>'9.7.0.18'!$G1</f>
        <v>184.32410400000001</v>
      </c>
      <c r="E5" s="3">
        <f t="shared" ref="E5" si="0">C5+D5</f>
        <v>221.46907300000001</v>
      </c>
      <c r="F5" s="3" t="str">
        <f>IF(E5=$T5,"L",IF(E5=$U5,"H",""))</f>
        <v/>
      </c>
      <c r="G5" s="1">
        <f>'9.8.0.15'!$E1</f>
        <v>35.590170000000001</v>
      </c>
      <c r="H5" s="1">
        <f>'9.8.0.15'!$G1</f>
        <v>199.406432</v>
      </c>
      <c r="I5" s="3">
        <f t="shared" ref="I5" si="1">G5+H5</f>
        <v>234.996602</v>
      </c>
      <c r="J5" s="3" t="str">
        <f>IF(I5=$T5,"L",IF(I5=$U5,"H",""))</f>
        <v>H</v>
      </c>
      <c r="K5" s="1">
        <f>'9.9.1.8'!$E1</f>
        <v>33.055283000000003</v>
      </c>
      <c r="L5" s="1">
        <f>'9.9.1.8'!$G1</f>
        <v>187.839133</v>
      </c>
      <c r="M5" s="3">
        <f t="shared" ref="M5" si="2">K5+L5</f>
        <v>220.89441600000001</v>
      </c>
      <c r="N5" s="3" t="str">
        <f>IF(M5=$T5,"L",IF(M5=$U5,"H",""))</f>
        <v/>
      </c>
      <c r="O5" s="1">
        <f>'11.4'!$E1</f>
        <v>37.358277999999999</v>
      </c>
      <c r="P5" s="1">
        <f>'11.4'!$G1</f>
        <v>176.93367000000001</v>
      </c>
      <c r="Q5" s="3">
        <f t="shared" ref="Q5" si="3">O5+P5</f>
        <v>214.29194799999999</v>
      </c>
      <c r="R5" s="3" t="str">
        <f>IF(Q5=$T5,"L",IF(Q5=$U5,"H",""))</f>
        <v>L</v>
      </c>
      <c r="T5" s="1">
        <f>MIN($E5,$I5,$M5,$Q5)</f>
        <v>214.29194799999999</v>
      </c>
      <c r="U5" s="1">
        <f>MAX($E5,$I5,$M5,$Q5)</f>
        <v>234.996602</v>
      </c>
      <c r="V5" s="1">
        <f>AVERAGE($E5,$I5,$M5,$Q5)</f>
        <v>222.91300975000001</v>
      </c>
    </row>
    <row r="6" spans="1:22" x14ac:dyDescent="0.2">
      <c r="A6" t="str">
        <f>'9.7.0.18'!$H2</f>
        <v>mg-TEST-Scenarioset1-v20.xml</v>
      </c>
      <c r="B6" s="5">
        <f>'9.7.0.18'!$C2</f>
        <v>159415</v>
      </c>
      <c r="C6" s="1">
        <f>'9.7.0.18'!$E2</f>
        <v>32.140278000000002</v>
      </c>
      <c r="D6" s="1">
        <f>'9.7.0.18'!$G2</f>
        <v>192.93620200000001</v>
      </c>
      <c r="E6" s="3">
        <f t="shared" ref="E6:E21" si="4">C6+D6</f>
        <v>225.07648</v>
      </c>
      <c r="F6" s="3" t="str">
        <f>IF(E6=$T6,"L",IF(E6=$U6,"H",""))</f>
        <v>L</v>
      </c>
      <c r="G6" s="1">
        <f>'9.8.0.15'!$E2</f>
        <v>35.478861999999999</v>
      </c>
      <c r="H6" s="1">
        <f>'9.8.0.15'!$G2</f>
        <v>213.744246</v>
      </c>
      <c r="I6" s="3">
        <f t="shared" ref="I6:I21" si="5">G6+H6</f>
        <v>249.223108</v>
      </c>
      <c r="J6" s="3" t="str">
        <f t="shared" ref="J6:J21" si="6">IF(I6=$T6,"L",IF(I6=$U6,"H",""))</f>
        <v>H</v>
      </c>
      <c r="K6" s="1">
        <f>'9.9.1.8'!$E2</f>
        <v>35.000038000000004</v>
      </c>
      <c r="L6" s="1">
        <f>'9.9.1.8'!$G2</f>
        <v>198.67230799999999</v>
      </c>
      <c r="M6" s="3">
        <f t="shared" ref="M6:M21" si="7">K6+L6</f>
        <v>233.672346</v>
      </c>
      <c r="N6" s="3" t="str">
        <f t="shared" ref="N6:N21" si="8">IF(M6=$T6,"L",IF(M6=$U6,"H",""))</f>
        <v/>
      </c>
      <c r="O6" s="1">
        <f>'11.4'!$E2</f>
        <v>29.618770999999999</v>
      </c>
      <c r="P6" s="1">
        <f>'11.4'!$G2</f>
        <v>198.63199499999999</v>
      </c>
      <c r="Q6" s="3">
        <f t="shared" ref="Q6:Q21" si="9">O6+P6</f>
        <v>228.250766</v>
      </c>
      <c r="R6" s="3" t="str">
        <f t="shared" ref="R6:R21" si="10">IF(Q6=$T6,"L",IF(Q6=$U6,"H",""))</f>
        <v/>
      </c>
      <c r="T6" s="1">
        <f>MIN($E6,$I6,$M6,$Q6)</f>
        <v>225.07648</v>
      </c>
      <c r="U6" s="1">
        <f>MAX($E6,$I6,$M6,$Q6)</f>
        <v>249.223108</v>
      </c>
      <c r="V6" s="1">
        <f>AVERAGE($E6,$I6,$M6,$Q6)</f>
        <v>234.05567499999998</v>
      </c>
    </row>
    <row r="7" spans="1:22" x14ac:dyDescent="0.2">
      <c r="A7" t="str">
        <f>'9.7.0.18'!$H3</f>
        <v>mg-TEST-Scenarioset10-v20.xml</v>
      </c>
      <c r="B7" s="5">
        <f>'9.7.0.18'!$C3</f>
        <v>54665</v>
      </c>
      <c r="C7" s="1">
        <f>'9.7.0.18'!$E3</f>
        <v>19.09404</v>
      </c>
      <c r="D7" s="1">
        <f>'9.7.0.18'!$G3</f>
        <v>56.509582000000002</v>
      </c>
      <c r="E7" s="3">
        <f t="shared" si="4"/>
        <v>75.603622000000001</v>
      </c>
      <c r="F7" s="3" t="str">
        <f>IF(E7=$T7,"L",IF(E7=$U7,"H",""))</f>
        <v>L</v>
      </c>
      <c r="G7" s="1">
        <f>'9.8.0.15'!$E3</f>
        <v>18.626846</v>
      </c>
      <c r="H7" s="1">
        <f>'9.8.0.15'!$G3</f>
        <v>66.591071999999997</v>
      </c>
      <c r="I7" s="3">
        <f t="shared" si="5"/>
        <v>85.217917999999997</v>
      </c>
      <c r="J7" s="3" t="str">
        <f t="shared" si="6"/>
        <v/>
      </c>
      <c r="K7" s="1">
        <f>'9.9.1.8'!$E3</f>
        <v>18.936197</v>
      </c>
      <c r="L7" s="1">
        <f>'9.9.1.8'!$G3</f>
        <v>69.267374000000004</v>
      </c>
      <c r="M7" s="3">
        <f t="shared" si="7"/>
        <v>88.203571000000011</v>
      </c>
      <c r="N7" s="3" t="str">
        <f t="shared" si="8"/>
        <v>H</v>
      </c>
      <c r="O7" s="1">
        <f>'11.4'!$E3</f>
        <v>17.804361</v>
      </c>
      <c r="P7" s="1">
        <f>'11.4'!$G3</f>
        <v>63.416356999999998</v>
      </c>
      <c r="Q7" s="3">
        <f t="shared" si="9"/>
        <v>81.220718000000005</v>
      </c>
      <c r="R7" s="3" t="str">
        <f t="shared" si="10"/>
        <v/>
      </c>
      <c r="T7" s="1">
        <f>MIN($E7,$I7,$M7,$Q7)</f>
        <v>75.603622000000001</v>
      </c>
      <c r="U7" s="1">
        <f>MAX($E7,$I7,$M7,$Q7)</f>
        <v>88.203571000000011</v>
      </c>
      <c r="V7" s="1">
        <f>AVERAGE($E7,$I7,$M7,$Q7)</f>
        <v>82.561457250000004</v>
      </c>
    </row>
    <row r="8" spans="1:22" x14ac:dyDescent="0.2">
      <c r="A8" t="str">
        <f>'9.7.0.18'!$H4</f>
        <v>mg-TEST-Scenarioset11-v20.xml</v>
      </c>
      <c r="B8" s="5">
        <f>'9.7.0.18'!$C4</f>
        <v>86675</v>
      </c>
      <c r="C8" s="1">
        <f>'9.7.0.18'!$E4</f>
        <v>22.010214000000001</v>
      </c>
      <c r="D8" s="1">
        <f>'9.7.0.18'!$G4</f>
        <v>101.754541</v>
      </c>
      <c r="E8" s="3">
        <f t="shared" si="4"/>
        <v>123.76475500000001</v>
      </c>
      <c r="F8" s="3" t="str">
        <f>IF(E8=$T8,"L",IF(E8=$U8,"H",""))</f>
        <v>L</v>
      </c>
      <c r="G8" s="1">
        <f>'9.8.0.15'!$E4</f>
        <v>24.710464000000002</v>
      </c>
      <c r="H8" s="1">
        <f>'9.8.0.15'!$G4</f>
        <v>110.264326</v>
      </c>
      <c r="I8" s="3">
        <f t="shared" si="5"/>
        <v>134.97478999999998</v>
      </c>
      <c r="J8" s="3" t="str">
        <f t="shared" si="6"/>
        <v/>
      </c>
      <c r="K8" s="1">
        <f>'9.9.1.8'!$E4</f>
        <v>20.742743999999998</v>
      </c>
      <c r="L8" s="1">
        <f>'9.9.1.8'!$G4</f>
        <v>106.354426</v>
      </c>
      <c r="M8" s="3">
        <f t="shared" si="7"/>
        <v>127.09717000000001</v>
      </c>
      <c r="N8" s="3" t="str">
        <f t="shared" si="8"/>
        <v/>
      </c>
      <c r="O8" s="1">
        <f>'11.4'!$E4</f>
        <v>28.276318</v>
      </c>
      <c r="P8" s="1">
        <f>'11.4'!$G4</f>
        <v>106.99334399999999</v>
      </c>
      <c r="Q8" s="3">
        <f t="shared" si="9"/>
        <v>135.26966199999998</v>
      </c>
      <c r="R8" s="3" t="str">
        <f t="shared" si="10"/>
        <v>H</v>
      </c>
      <c r="T8" s="1">
        <f>MIN($E8,$I8,$M8,$Q8)</f>
        <v>123.76475500000001</v>
      </c>
      <c r="U8" s="1">
        <f>MAX($E8,$I8,$M8,$Q8)</f>
        <v>135.26966199999998</v>
      </c>
      <c r="V8" s="1">
        <f>AVERAGE($E8,$I8,$M8,$Q8)</f>
        <v>130.27659425000002</v>
      </c>
    </row>
    <row r="9" spans="1:22" x14ac:dyDescent="0.2">
      <c r="A9" t="str">
        <f>'9.7.0.18'!$H5</f>
        <v>mg-TEST-Scenarioset11NEW-v20.xml</v>
      </c>
      <c r="B9" s="5">
        <f>'9.7.0.18'!$C5</f>
        <v>173084</v>
      </c>
      <c r="C9" s="1">
        <f>'9.7.0.18'!$E5</f>
        <v>38.349618</v>
      </c>
      <c r="D9" s="1">
        <f>'9.7.0.18'!$G5</f>
        <v>205.19125399999999</v>
      </c>
      <c r="E9" s="3">
        <f t="shared" si="4"/>
        <v>243.54087199999998</v>
      </c>
      <c r="F9" s="3" t="str">
        <f>IF(E9=$T9,"L",IF(E9=$U9,"H",""))</f>
        <v/>
      </c>
      <c r="G9" s="1">
        <f>'9.8.0.15'!$E5</f>
        <v>32.364151999999997</v>
      </c>
      <c r="H9" s="1">
        <f>'9.8.0.15'!$G5</f>
        <v>226.68244000000001</v>
      </c>
      <c r="I9" s="3">
        <f t="shared" si="5"/>
        <v>259.04659200000003</v>
      </c>
      <c r="J9" s="3" t="str">
        <f t="shared" si="6"/>
        <v>H</v>
      </c>
      <c r="K9" s="1">
        <f>'9.9.1.8'!$E5</f>
        <v>30.944814999999998</v>
      </c>
      <c r="L9" s="1">
        <f>'9.9.1.8'!$G5</f>
        <v>203.83028200000001</v>
      </c>
      <c r="M9" s="3">
        <f t="shared" si="7"/>
        <v>234.77509700000002</v>
      </c>
      <c r="N9" s="3" t="str">
        <f t="shared" si="8"/>
        <v/>
      </c>
      <c r="O9" s="1">
        <f>'11.4'!$E5</f>
        <v>31.564791</v>
      </c>
      <c r="P9" s="1">
        <f>'11.4'!$G5</f>
        <v>191.820153</v>
      </c>
      <c r="Q9" s="3">
        <f t="shared" si="9"/>
        <v>223.38494400000002</v>
      </c>
      <c r="R9" s="3" t="str">
        <f t="shared" si="10"/>
        <v>L</v>
      </c>
      <c r="T9" s="1">
        <f>MIN($E9,$I9,$M9,$Q9)</f>
        <v>223.38494400000002</v>
      </c>
      <c r="U9" s="1">
        <f>MAX($E9,$I9,$M9,$Q9)</f>
        <v>259.04659200000003</v>
      </c>
      <c r="V9" s="1">
        <f>AVERAGE($E9,$I9,$M9,$Q9)</f>
        <v>240.18687625000001</v>
      </c>
    </row>
    <row r="10" spans="1:22" x14ac:dyDescent="0.2">
      <c r="A10" t="str">
        <f>'9.7.0.18'!$H6</f>
        <v>mg-TEST-Scenarioset13-v20.xml</v>
      </c>
      <c r="B10" s="5">
        <f>'9.7.0.18'!$C6</f>
        <v>46033</v>
      </c>
      <c r="C10" s="1">
        <f>'9.7.0.18'!$E6</f>
        <v>17.323740999999998</v>
      </c>
      <c r="D10" s="1">
        <f>'9.7.0.18'!$G6</f>
        <v>58.306452</v>
      </c>
      <c r="E10" s="3">
        <f t="shared" si="4"/>
        <v>75.630192999999991</v>
      </c>
      <c r="F10" s="3" t="str">
        <f>IF(E10=$T10,"L",IF(E10=$U10,"H",""))</f>
        <v>L</v>
      </c>
      <c r="G10" s="1">
        <f>'9.8.0.15'!$E6</f>
        <v>19.822785</v>
      </c>
      <c r="H10" s="1">
        <f>'9.8.0.15'!$G6</f>
        <v>74.499966999999998</v>
      </c>
      <c r="I10" s="3">
        <f t="shared" si="5"/>
        <v>94.322751999999994</v>
      </c>
      <c r="J10" s="3" t="str">
        <f t="shared" si="6"/>
        <v>H</v>
      </c>
      <c r="K10" s="1">
        <f>'9.9.1.8'!$E6</f>
        <v>21.241807999999999</v>
      </c>
      <c r="L10" s="1">
        <f>'9.9.1.8'!$G6</f>
        <v>64.061042999999998</v>
      </c>
      <c r="M10" s="3">
        <f t="shared" si="7"/>
        <v>85.302851000000004</v>
      </c>
      <c r="N10" s="3" t="str">
        <f t="shared" si="8"/>
        <v/>
      </c>
      <c r="O10" s="1">
        <f>'11.4'!$E6</f>
        <v>18.920794999999998</v>
      </c>
      <c r="P10" s="1">
        <f>'11.4'!$G6</f>
        <v>62.405423999999996</v>
      </c>
      <c r="Q10" s="3">
        <f t="shared" si="9"/>
        <v>81.326218999999995</v>
      </c>
      <c r="R10" s="3" t="str">
        <f t="shared" si="10"/>
        <v/>
      </c>
      <c r="T10" s="1">
        <f>MIN($E10,$I10,$M10,$Q10)</f>
        <v>75.630192999999991</v>
      </c>
      <c r="U10" s="1">
        <f>MAX($E10,$I10,$M10,$Q10)</f>
        <v>94.322751999999994</v>
      </c>
      <c r="V10" s="1">
        <f>AVERAGE($E10,$I10,$M10,$Q10)</f>
        <v>84.145503750000003</v>
      </c>
    </row>
    <row r="11" spans="1:22" x14ac:dyDescent="0.2">
      <c r="A11" t="str">
        <f>'9.7.0.18'!$H7</f>
        <v>mg-TEST-Scenarioset2-v20.xml</v>
      </c>
      <c r="B11" s="5">
        <f>'9.7.0.18'!$C7</f>
        <v>115767</v>
      </c>
      <c r="C11" s="1">
        <f>'9.7.0.18'!$E7</f>
        <v>29.187973</v>
      </c>
      <c r="D11" s="1">
        <f>'9.7.0.18'!$G7</f>
        <v>135.86894899999999</v>
      </c>
      <c r="E11" s="3">
        <f t="shared" si="4"/>
        <v>165.05692199999999</v>
      </c>
      <c r="F11" s="3" t="str">
        <f>IF(E11=$T11,"L",IF(E11=$U11,"H",""))</f>
        <v/>
      </c>
      <c r="G11" s="1">
        <f>'9.8.0.15'!$E7</f>
        <v>34.943224999999998</v>
      </c>
      <c r="H11" s="1">
        <f>'9.8.0.15'!$G7</f>
        <v>155.431085</v>
      </c>
      <c r="I11" s="3">
        <f t="shared" si="5"/>
        <v>190.37430999999998</v>
      </c>
      <c r="J11" s="3" t="str">
        <f t="shared" si="6"/>
        <v>H</v>
      </c>
      <c r="K11" s="1">
        <f>'9.9.1.8'!$E7</f>
        <v>30.897341999999998</v>
      </c>
      <c r="L11" s="1">
        <f>'9.9.1.8'!$G7</f>
        <v>145.00142500000001</v>
      </c>
      <c r="M11" s="3">
        <f t="shared" si="7"/>
        <v>175.89876700000002</v>
      </c>
      <c r="N11" s="3" t="str">
        <f t="shared" si="8"/>
        <v/>
      </c>
      <c r="O11" s="1">
        <f>'11.4'!$E7</f>
        <v>27.617355</v>
      </c>
      <c r="P11" s="1">
        <f>'11.4'!$G7</f>
        <v>136.645813</v>
      </c>
      <c r="Q11" s="3">
        <f t="shared" si="9"/>
        <v>164.26316800000001</v>
      </c>
      <c r="R11" s="3" t="str">
        <f t="shared" si="10"/>
        <v>L</v>
      </c>
      <c r="T11" s="1">
        <f>MIN($E11,$I11,$M11,$Q11)</f>
        <v>164.26316800000001</v>
      </c>
      <c r="U11" s="1">
        <f>MAX($E11,$I11,$M11,$Q11)</f>
        <v>190.37430999999998</v>
      </c>
      <c r="V11" s="1">
        <f>AVERAGE($E11,$I11,$M11,$Q11)</f>
        <v>173.89829175</v>
      </c>
    </row>
    <row r="12" spans="1:22" x14ac:dyDescent="0.2">
      <c r="A12" t="str">
        <f>'9.7.0.18'!$H8</f>
        <v>mg-TEST-Scenarioset3-v20.xml</v>
      </c>
      <c r="B12" s="5">
        <f>'9.7.0.18'!$C8</f>
        <v>181187</v>
      </c>
      <c r="C12" s="1">
        <f>'9.7.0.18'!$E8</f>
        <v>35.779848000000001</v>
      </c>
      <c r="D12" s="1">
        <f>'9.7.0.18'!$G8</f>
        <v>265.04192899999998</v>
      </c>
      <c r="E12" s="3">
        <f t="shared" si="4"/>
        <v>300.821777</v>
      </c>
      <c r="F12" s="3" t="str">
        <f>IF(E12=$T12,"L",IF(E12=$U12,"H",""))</f>
        <v/>
      </c>
      <c r="G12" s="1">
        <f>'9.8.0.15'!$E8</f>
        <v>39.487433000000003</v>
      </c>
      <c r="H12" s="1">
        <f>'9.8.0.15'!$G8</f>
        <v>290.70515499999999</v>
      </c>
      <c r="I12" s="3">
        <f t="shared" si="5"/>
        <v>330.192588</v>
      </c>
      <c r="J12" s="3" t="str">
        <f t="shared" si="6"/>
        <v>H</v>
      </c>
      <c r="K12" s="1">
        <f>'9.9.1.8'!$E8</f>
        <v>32.469783</v>
      </c>
      <c r="L12" s="1">
        <f>'9.9.1.8'!$G8</f>
        <v>243.88471799999999</v>
      </c>
      <c r="M12" s="3">
        <f t="shared" si="7"/>
        <v>276.35450099999997</v>
      </c>
      <c r="N12" s="3" t="str">
        <f t="shared" si="8"/>
        <v/>
      </c>
      <c r="O12" s="1">
        <f>'11.4'!$E8</f>
        <v>33.785252</v>
      </c>
      <c r="P12" s="1">
        <f>'11.4'!$G8</f>
        <v>234.986604</v>
      </c>
      <c r="Q12" s="3">
        <f t="shared" si="9"/>
        <v>268.77185600000001</v>
      </c>
      <c r="R12" s="3" t="str">
        <f t="shared" si="10"/>
        <v>L</v>
      </c>
      <c r="T12" s="1">
        <f>MIN($E12,$I12,$M12,$Q12)</f>
        <v>268.77185600000001</v>
      </c>
      <c r="U12" s="1">
        <f>MAX($E12,$I12,$M12,$Q12)</f>
        <v>330.192588</v>
      </c>
      <c r="V12" s="1">
        <f>AVERAGE($E12,$I12,$M12,$Q12)</f>
        <v>294.03518050000002</v>
      </c>
    </row>
    <row r="13" spans="1:22" x14ac:dyDescent="0.2">
      <c r="A13" t="str">
        <f>'9.7.0.18'!$H9</f>
        <v>mg-TEST-Scenarioset4_a-v20.xml</v>
      </c>
      <c r="B13" s="5">
        <f>'9.7.0.18'!$C9</f>
        <v>31012</v>
      </c>
      <c r="C13" s="1">
        <f>'9.7.0.18'!$E9</f>
        <v>13.580275</v>
      </c>
      <c r="D13" s="1">
        <f>'9.7.0.18'!$G9</f>
        <v>49.853242000000002</v>
      </c>
      <c r="E13" s="3">
        <f t="shared" si="4"/>
        <v>63.433517000000002</v>
      </c>
      <c r="F13" s="3" t="str">
        <f>IF(E13=$T13,"L",IF(E13=$U13,"H",""))</f>
        <v>L</v>
      </c>
      <c r="G13" s="1">
        <f>'9.8.0.15'!$E9</f>
        <v>23.843464000000001</v>
      </c>
      <c r="H13" s="1">
        <f>'9.8.0.15'!$G9</f>
        <v>70.533839999999998</v>
      </c>
      <c r="I13" s="3">
        <f t="shared" si="5"/>
        <v>94.377303999999995</v>
      </c>
      <c r="J13" s="3" t="str">
        <f t="shared" si="6"/>
        <v>H</v>
      </c>
      <c r="K13" s="1">
        <f>'9.9.1.8'!$E9</f>
        <v>17.739495999999999</v>
      </c>
      <c r="L13" s="1">
        <f>'9.9.1.8'!$G9</f>
        <v>52.889767999999997</v>
      </c>
      <c r="M13" s="3">
        <f t="shared" si="7"/>
        <v>70.629263999999992</v>
      </c>
      <c r="N13" s="3" t="str">
        <f t="shared" si="8"/>
        <v/>
      </c>
      <c r="O13" s="1">
        <f>'11.4'!$E9</f>
        <v>13.32321</v>
      </c>
      <c r="P13" s="1">
        <f>'11.4'!$G9</f>
        <v>56.330084999999997</v>
      </c>
      <c r="Q13" s="3">
        <f t="shared" si="9"/>
        <v>69.653295</v>
      </c>
      <c r="R13" s="3" t="str">
        <f t="shared" si="10"/>
        <v/>
      </c>
      <c r="T13" s="1">
        <f>MIN($E13,$I13,$M13,$Q13)</f>
        <v>63.433517000000002</v>
      </c>
      <c r="U13" s="1">
        <f>MAX($E13,$I13,$M13,$Q13)</f>
        <v>94.377303999999995</v>
      </c>
      <c r="V13" s="1">
        <f>AVERAGE($E13,$I13,$M13,$Q13)</f>
        <v>74.523345000000006</v>
      </c>
    </row>
    <row r="14" spans="1:22" x14ac:dyDescent="0.2">
      <c r="A14" t="str">
        <f>'9.7.0.18'!$H10</f>
        <v>mg-TEST-Scenarioset4_b-v20.xml</v>
      </c>
      <c r="B14" s="5">
        <f>'9.7.0.18'!$C10</f>
        <v>18385</v>
      </c>
      <c r="C14" s="1">
        <f>'9.7.0.18'!$E10</f>
        <v>10.573798</v>
      </c>
      <c r="D14" s="1">
        <f>'9.7.0.18'!$G10</f>
        <v>43.055317000000002</v>
      </c>
      <c r="E14" s="3">
        <f t="shared" si="4"/>
        <v>53.629114999999999</v>
      </c>
      <c r="F14" s="3" t="str">
        <f>IF(E14=$T14,"L",IF(E14=$U14,"H",""))</f>
        <v/>
      </c>
      <c r="G14" s="1">
        <f>'9.8.0.15'!$E10</f>
        <v>11.670642000000001</v>
      </c>
      <c r="H14" s="1">
        <f>'9.8.0.15'!$G10</f>
        <v>45.666769000000002</v>
      </c>
      <c r="I14" s="3">
        <f t="shared" si="5"/>
        <v>57.337411000000003</v>
      </c>
      <c r="J14" s="3" t="str">
        <f t="shared" si="6"/>
        <v>H</v>
      </c>
      <c r="K14" s="1">
        <f>'9.9.1.8'!$E10</f>
        <v>10.915827</v>
      </c>
      <c r="L14" s="1">
        <f>'9.9.1.8'!$G10</f>
        <v>40.611727999999999</v>
      </c>
      <c r="M14" s="3">
        <f t="shared" si="7"/>
        <v>51.527555</v>
      </c>
      <c r="N14" s="3" t="str">
        <f t="shared" si="8"/>
        <v/>
      </c>
      <c r="O14" s="1">
        <f>'11.4'!$E10</f>
        <v>8.8662120000000009</v>
      </c>
      <c r="P14" s="1">
        <f>'11.4'!$G10</f>
        <v>40.203724999999999</v>
      </c>
      <c r="Q14" s="3">
        <f t="shared" si="9"/>
        <v>49.069936999999996</v>
      </c>
      <c r="R14" s="3" t="str">
        <f t="shared" si="10"/>
        <v>L</v>
      </c>
      <c r="T14" s="1">
        <f>MIN($E14,$I14,$M14,$Q14)</f>
        <v>49.069936999999996</v>
      </c>
      <c r="U14" s="1">
        <f>MAX($E14,$I14,$M14,$Q14)</f>
        <v>57.337411000000003</v>
      </c>
      <c r="V14" s="1">
        <f>AVERAGE($E14,$I14,$M14,$Q14)</f>
        <v>52.891004499999994</v>
      </c>
    </row>
    <row r="15" spans="1:22" x14ac:dyDescent="0.2">
      <c r="A15" t="str">
        <f>'9.7.0.18'!$H11</f>
        <v>mg-TEST-Scenarioset5-v20.xml</v>
      </c>
      <c r="B15" s="5">
        <f>'9.7.0.18'!$C11</f>
        <v>126643</v>
      </c>
      <c r="C15" s="1">
        <f>'9.7.0.18'!$E11</f>
        <v>34.703581</v>
      </c>
      <c r="D15" s="1">
        <f>'9.7.0.18'!$G11</f>
        <v>153.26717199999999</v>
      </c>
      <c r="E15" s="3">
        <f t="shared" si="4"/>
        <v>187.970753</v>
      </c>
      <c r="F15" s="3" t="str">
        <f>IF(E15=$T15,"L",IF(E15=$U15,"H",""))</f>
        <v/>
      </c>
      <c r="G15" s="1">
        <f>'9.8.0.15'!$E11</f>
        <v>31.250457999999998</v>
      </c>
      <c r="H15" s="1">
        <f>'9.8.0.15'!$G11</f>
        <v>158.57250099999999</v>
      </c>
      <c r="I15" s="3">
        <f t="shared" si="5"/>
        <v>189.822959</v>
      </c>
      <c r="J15" s="3" t="str">
        <f t="shared" si="6"/>
        <v/>
      </c>
      <c r="K15" s="1">
        <f>'9.9.1.8'!$E11</f>
        <v>27.303874</v>
      </c>
      <c r="L15" s="1">
        <f>'9.9.1.8'!$G11</f>
        <v>134.07998799999999</v>
      </c>
      <c r="M15" s="3">
        <f t="shared" si="7"/>
        <v>161.38386199999999</v>
      </c>
      <c r="N15" s="3" t="str">
        <f t="shared" si="8"/>
        <v>L</v>
      </c>
      <c r="O15" s="1">
        <f>'11.4'!$E11</f>
        <v>29.377095000000001</v>
      </c>
      <c r="P15" s="1">
        <f>'11.4'!$G11</f>
        <v>160.50200000000001</v>
      </c>
      <c r="Q15" s="3">
        <f t="shared" si="9"/>
        <v>189.87909500000001</v>
      </c>
      <c r="R15" s="3" t="str">
        <f t="shared" si="10"/>
        <v>H</v>
      </c>
      <c r="T15" s="1">
        <f>MIN($E15,$I15,$M15,$Q15)</f>
        <v>161.38386199999999</v>
      </c>
      <c r="U15" s="1">
        <f>MAX($E15,$I15,$M15,$Q15)</f>
        <v>189.87909500000001</v>
      </c>
      <c r="V15" s="1">
        <f>AVERAGE($E15,$I15,$M15,$Q15)</f>
        <v>182.26416725000001</v>
      </c>
    </row>
    <row r="16" spans="1:22" x14ac:dyDescent="0.2">
      <c r="A16" t="str">
        <f>'9.7.0.18'!$H12</f>
        <v>mg-TEST-Scenarioset6a-v20.xml</v>
      </c>
      <c r="B16" s="5">
        <f>'9.7.0.18'!$C12</f>
        <v>109766</v>
      </c>
      <c r="C16" s="1">
        <f>'9.7.0.18'!$E12</f>
        <v>31.091032999999999</v>
      </c>
      <c r="D16" s="1">
        <f>'9.7.0.18'!$G12</f>
        <v>166.81940299999999</v>
      </c>
      <c r="E16" s="3">
        <f t="shared" si="4"/>
        <v>197.910436</v>
      </c>
      <c r="F16" s="3" t="str">
        <f>IF(E16=$T16,"L",IF(E16=$U16,"H",""))</f>
        <v>H</v>
      </c>
      <c r="G16" s="1">
        <f>'9.8.0.15'!$E12</f>
        <v>43.113664999999997</v>
      </c>
      <c r="H16" s="1">
        <f>'9.8.0.15'!$G12</f>
        <v>124.629493</v>
      </c>
      <c r="I16" s="3">
        <f t="shared" si="5"/>
        <v>167.74315799999999</v>
      </c>
      <c r="J16" s="3" t="str">
        <f t="shared" si="6"/>
        <v/>
      </c>
      <c r="K16" s="1">
        <f>'9.9.1.8'!$E12</f>
        <v>27.405902999999999</v>
      </c>
      <c r="L16" s="1">
        <f>'9.9.1.8'!$G12</f>
        <v>110.077292</v>
      </c>
      <c r="M16" s="3">
        <f t="shared" si="7"/>
        <v>137.48319499999999</v>
      </c>
      <c r="N16" s="3" t="str">
        <f t="shared" si="8"/>
        <v>L</v>
      </c>
      <c r="O16" s="1">
        <f>'11.4'!$E12</f>
        <v>31.426338999999999</v>
      </c>
      <c r="P16" s="1">
        <f>'11.4'!$G12</f>
        <v>120.73339799999999</v>
      </c>
      <c r="Q16" s="3">
        <f t="shared" si="9"/>
        <v>152.15973700000001</v>
      </c>
      <c r="R16" s="3" t="str">
        <f t="shared" si="10"/>
        <v/>
      </c>
      <c r="T16" s="1">
        <f>MIN($E16,$I16,$M16,$Q16)</f>
        <v>137.48319499999999</v>
      </c>
      <c r="U16" s="1">
        <f>MAX($E16,$I16,$M16,$Q16)</f>
        <v>197.910436</v>
      </c>
      <c r="V16" s="1">
        <f>AVERAGE($E16,$I16,$M16,$Q16)</f>
        <v>163.82413150000002</v>
      </c>
    </row>
    <row r="17" spans="1:22" x14ac:dyDescent="0.2">
      <c r="A17" t="str">
        <f>'9.7.0.18'!$H13</f>
        <v>mg-TEST-Scenarioset6b-v20.xml</v>
      </c>
      <c r="B17" s="5">
        <f>'9.7.0.18'!$C13</f>
        <v>113140</v>
      </c>
      <c r="C17" s="1">
        <f>'9.7.0.18'!$E13</f>
        <v>26.246589</v>
      </c>
      <c r="D17" s="1">
        <f>'9.7.0.18'!$G13</f>
        <v>137.92411000000001</v>
      </c>
      <c r="E17" s="3">
        <f t="shared" si="4"/>
        <v>164.17069900000001</v>
      </c>
      <c r="F17" s="3" t="str">
        <f>IF(E17=$T17,"L",IF(E17=$U17,"H",""))</f>
        <v>H</v>
      </c>
      <c r="G17" s="1">
        <f>'9.8.0.15'!$E13</f>
        <v>28.011772000000001</v>
      </c>
      <c r="H17" s="1">
        <f>'9.8.0.15'!$G13</f>
        <v>135.23577399999999</v>
      </c>
      <c r="I17" s="3">
        <f t="shared" si="5"/>
        <v>163.247546</v>
      </c>
      <c r="J17" s="3" t="str">
        <f t="shared" si="6"/>
        <v/>
      </c>
      <c r="K17" s="1">
        <f>'9.9.1.8'!$E13</f>
        <v>23.405249999999999</v>
      </c>
      <c r="L17" s="1">
        <f>'9.9.1.8'!$G13</f>
        <v>126.335452</v>
      </c>
      <c r="M17" s="3">
        <f t="shared" si="7"/>
        <v>149.740702</v>
      </c>
      <c r="N17" s="3" t="str">
        <f t="shared" si="8"/>
        <v>L</v>
      </c>
      <c r="O17" s="1">
        <f>'11.4'!$E13</f>
        <v>30.511927</v>
      </c>
      <c r="P17" s="1">
        <f>'11.4'!$G13</f>
        <v>124.420451</v>
      </c>
      <c r="Q17" s="3">
        <f t="shared" si="9"/>
        <v>154.932378</v>
      </c>
      <c r="R17" s="3" t="str">
        <f t="shared" si="10"/>
        <v/>
      </c>
      <c r="T17" s="1">
        <f>MIN($E17,$I17,$M17,$Q17)</f>
        <v>149.740702</v>
      </c>
      <c r="U17" s="1">
        <f>MAX($E17,$I17,$M17,$Q17)</f>
        <v>164.17069900000001</v>
      </c>
      <c r="V17" s="1">
        <f>AVERAGE($E17,$I17,$M17,$Q17)</f>
        <v>158.02283125</v>
      </c>
    </row>
    <row r="18" spans="1:22" x14ac:dyDescent="0.2">
      <c r="A18" t="str">
        <f>'9.7.0.18'!$H14</f>
        <v>mg-TEST-Scenarioset6c-v20.xml</v>
      </c>
      <c r="B18" s="5">
        <f>'9.7.0.18'!$C14</f>
        <v>120896</v>
      </c>
      <c r="C18" s="1">
        <f>'9.7.0.18'!$E14</f>
        <v>29.615697000000001</v>
      </c>
      <c r="D18" s="1">
        <f>'9.7.0.18'!$G14</f>
        <v>132.12405100000001</v>
      </c>
      <c r="E18" s="3">
        <f t="shared" si="4"/>
        <v>161.73974800000002</v>
      </c>
      <c r="F18" s="3" t="str">
        <f>IF(E18=$T18,"L",IF(E18=$U18,"H",""))</f>
        <v/>
      </c>
      <c r="G18" s="1">
        <f>'9.8.0.15'!$E14</f>
        <v>33.799146999999998</v>
      </c>
      <c r="H18" s="1">
        <f>'9.8.0.15'!$G14</f>
        <v>148.54452900000001</v>
      </c>
      <c r="I18" s="3">
        <f t="shared" si="5"/>
        <v>182.34367600000002</v>
      </c>
      <c r="J18" s="3" t="str">
        <f t="shared" si="6"/>
        <v>H</v>
      </c>
      <c r="K18" s="1">
        <f>'9.9.1.8'!$E14</f>
        <v>29.444147999999998</v>
      </c>
      <c r="L18" s="1">
        <f>'9.9.1.8'!$G14</f>
        <v>136.524033</v>
      </c>
      <c r="M18" s="3">
        <f t="shared" si="7"/>
        <v>165.96818100000002</v>
      </c>
      <c r="N18" s="3" t="str">
        <f t="shared" si="8"/>
        <v/>
      </c>
      <c r="O18" s="1">
        <f>'11.4'!$E14</f>
        <v>29.120654999999999</v>
      </c>
      <c r="P18" s="1">
        <f>'11.4'!$G14</f>
        <v>124.107613</v>
      </c>
      <c r="Q18" s="3">
        <f t="shared" si="9"/>
        <v>153.22826800000001</v>
      </c>
      <c r="R18" s="3" t="str">
        <f t="shared" si="10"/>
        <v>L</v>
      </c>
      <c r="T18" s="1">
        <f>MIN($E18,$I18,$M18,$Q18)</f>
        <v>153.22826800000001</v>
      </c>
      <c r="U18" s="1">
        <f>MAX($E18,$I18,$M18,$Q18)</f>
        <v>182.34367600000002</v>
      </c>
      <c r="V18" s="1">
        <f>AVERAGE($E18,$I18,$M18,$Q18)</f>
        <v>165.81996825000002</v>
      </c>
    </row>
    <row r="19" spans="1:22" x14ac:dyDescent="0.2">
      <c r="A19" t="str">
        <f>'9.7.0.18'!$H15</f>
        <v>mg-TEST-Scenarioset6d-v20.xml</v>
      </c>
      <c r="B19" s="5">
        <f>'9.7.0.18'!$C15</f>
        <v>106627</v>
      </c>
      <c r="C19" s="1">
        <f>'9.7.0.18'!$E15</f>
        <v>29.083873000000001</v>
      </c>
      <c r="D19" s="1">
        <f>'9.7.0.18'!$G15</f>
        <v>125.350696</v>
      </c>
      <c r="E19" s="3">
        <f t="shared" si="4"/>
        <v>154.43456900000001</v>
      </c>
      <c r="F19" s="3" t="str">
        <f>IF(E19=$T19,"L",IF(E19=$U19,"H",""))</f>
        <v/>
      </c>
      <c r="G19" s="1">
        <f>'9.8.0.15'!$E15</f>
        <v>34.295783999999998</v>
      </c>
      <c r="H19" s="1">
        <f>'9.8.0.15'!$G15</f>
        <v>123.347168</v>
      </c>
      <c r="I19" s="3">
        <f t="shared" si="5"/>
        <v>157.64295199999998</v>
      </c>
      <c r="J19" s="3" t="str">
        <f t="shared" si="6"/>
        <v/>
      </c>
      <c r="K19" s="1">
        <f>'9.9.1.8'!$E15</f>
        <v>27.650137000000001</v>
      </c>
      <c r="L19" s="1">
        <f>'9.9.1.8'!$G15</f>
        <v>131.38821300000001</v>
      </c>
      <c r="M19" s="3">
        <f t="shared" si="7"/>
        <v>159.03835000000001</v>
      </c>
      <c r="N19" s="3" t="str">
        <f t="shared" si="8"/>
        <v>H</v>
      </c>
      <c r="O19" s="1">
        <f>'11.4'!$E15</f>
        <v>29.134247999999999</v>
      </c>
      <c r="P19" s="1">
        <f>'11.4'!$G15</f>
        <v>119.766175</v>
      </c>
      <c r="Q19" s="3">
        <f t="shared" si="9"/>
        <v>148.90042299999999</v>
      </c>
      <c r="R19" s="3" t="str">
        <f t="shared" si="10"/>
        <v>L</v>
      </c>
      <c r="T19" s="1">
        <f>MIN($E19,$I19,$M19,$Q19)</f>
        <v>148.90042299999999</v>
      </c>
      <c r="U19" s="1">
        <f>MAX($E19,$I19,$M19,$Q19)</f>
        <v>159.03835000000001</v>
      </c>
      <c r="V19" s="1">
        <f>AVERAGE($E19,$I19,$M19,$Q19)</f>
        <v>155.0040735</v>
      </c>
    </row>
    <row r="20" spans="1:22" x14ac:dyDescent="0.2">
      <c r="A20" t="str">
        <f>'9.7.0.18'!$H16</f>
        <v>mg-TEST-Scenarioset7-v20.xml</v>
      </c>
      <c r="B20" s="5">
        <f>'9.7.0.18'!$C16</f>
        <v>98289</v>
      </c>
      <c r="C20" s="1">
        <f>'9.7.0.18'!$E16</f>
        <v>28.410958000000001</v>
      </c>
      <c r="D20" s="1">
        <f>'9.7.0.18'!$G16</f>
        <v>90.030593999999994</v>
      </c>
      <c r="E20" s="3">
        <f t="shared" si="4"/>
        <v>118.441552</v>
      </c>
      <c r="F20" s="3" t="str">
        <f>IF(E20=$T20,"L",IF(E20=$U20,"H",""))</f>
        <v>H</v>
      </c>
      <c r="G20" s="1">
        <f>'9.8.0.15'!$E16</f>
        <v>22.164473999999998</v>
      </c>
      <c r="H20" s="1">
        <f>'9.8.0.15'!$G16</f>
        <v>95.288460000000001</v>
      </c>
      <c r="I20" s="3">
        <f t="shared" si="5"/>
        <v>117.452934</v>
      </c>
      <c r="J20" s="3" t="str">
        <f t="shared" si="6"/>
        <v/>
      </c>
      <c r="K20" s="1">
        <f>'9.9.1.8'!$E16</f>
        <v>26.184056000000002</v>
      </c>
      <c r="L20" s="1">
        <f>'9.9.1.8'!$G16</f>
        <v>91.307542999999995</v>
      </c>
      <c r="M20" s="3">
        <f t="shared" si="7"/>
        <v>117.49159899999999</v>
      </c>
      <c r="N20" s="3" t="str">
        <f t="shared" si="8"/>
        <v/>
      </c>
      <c r="O20" s="1">
        <f>'11.4'!$E16</f>
        <v>25.253091000000001</v>
      </c>
      <c r="P20" s="1">
        <f>'11.4'!$G16</f>
        <v>90.782332999999994</v>
      </c>
      <c r="Q20" s="3">
        <f t="shared" si="9"/>
        <v>116.03542399999999</v>
      </c>
      <c r="R20" s="3" t="str">
        <f t="shared" si="10"/>
        <v>L</v>
      </c>
      <c r="T20" s="1">
        <f>MIN($E20,$I20,$M20,$Q20)</f>
        <v>116.03542399999999</v>
      </c>
      <c r="U20" s="1">
        <f>MAX($E20,$I20,$M20,$Q20)</f>
        <v>118.441552</v>
      </c>
      <c r="V20" s="1">
        <f>AVERAGE($E20,$I20,$M20,$Q20)</f>
        <v>117.35537724999999</v>
      </c>
    </row>
    <row r="21" spans="1:22" x14ac:dyDescent="0.2">
      <c r="A21" t="str">
        <f>'9.7.0.18'!$H17</f>
        <v>mg-TEST-Scenarioset9-v20.xml</v>
      </c>
      <c r="B21" s="5">
        <f>'9.7.0.18'!$C17</f>
        <v>101133</v>
      </c>
      <c r="C21" s="1">
        <f>'9.7.0.18'!$E17</f>
        <v>30.810293000000001</v>
      </c>
      <c r="D21" s="1">
        <f>'9.7.0.18'!$G17</f>
        <v>140.35094599999999</v>
      </c>
      <c r="E21" s="3">
        <f t="shared" si="4"/>
        <v>171.16123899999999</v>
      </c>
      <c r="F21" s="3" t="str">
        <f>IF(E21=$T21,"L",IF(E21=$U21,"H",""))</f>
        <v/>
      </c>
      <c r="G21" s="1">
        <f>'9.8.0.15'!$E17</f>
        <v>23.713041</v>
      </c>
      <c r="H21" s="1">
        <f>'9.8.0.15'!$G17</f>
        <v>156.95816500000001</v>
      </c>
      <c r="I21" s="3">
        <f t="shared" si="5"/>
        <v>180.67120600000001</v>
      </c>
      <c r="J21" s="3" t="str">
        <f t="shared" si="6"/>
        <v>H</v>
      </c>
      <c r="K21" s="1">
        <f>'9.9.1.8'!$E17</f>
        <v>28.776463</v>
      </c>
      <c r="L21" s="1">
        <f>'9.9.1.8'!$G17</f>
        <v>140.78715</v>
      </c>
      <c r="M21" s="3">
        <f t="shared" si="7"/>
        <v>169.563613</v>
      </c>
      <c r="N21" s="3" t="str">
        <f t="shared" si="8"/>
        <v/>
      </c>
      <c r="O21" s="1">
        <f>'11.4'!$E17</f>
        <v>21.917012</v>
      </c>
      <c r="P21" s="1">
        <f>'11.4'!$G17</f>
        <v>131.24349000000001</v>
      </c>
      <c r="Q21" s="3">
        <f t="shared" si="9"/>
        <v>153.16050200000001</v>
      </c>
      <c r="R21" s="3" t="str">
        <f t="shared" si="10"/>
        <v>L</v>
      </c>
      <c r="T21" s="1">
        <f>MIN($E21,$I21,$M21,$Q21)</f>
        <v>153.16050200000001</v>
      </c>
      <c r="U21" s="1">
        <f>MAX($E21,$I21,$M21,$Q21)</f>
        <v>180.67120600000001</v>
      </c>
      <c r="V21" s="1">
        <f>AVERAGE($E21,$I21,$M21,$Q21)</f>
        <v>168.63914</v>
      </c>
    </row>
    <row r="22" spans="1:22" x14ac:dyDescent="0.2">
      <c r="B22" s="4"/>
    </row>
    <row r="23" spans="1:22" x14ac:dyDescent="0.2">
      <c r="B23" s="4"/>
    </row>
    <row r="24" spans="1:22" x14ac:dyDescent="0.2">
      <c r="A24" t="s">
        <v>43</v>
      </c>
      <c r="B24" s="4" t="str">
        <f>IF(E24=MAX(E24,I24,M24,Q24),C3,IF(I24=MAX(E24,I24,M24,Q24),G3,IF(M24=MAX(E24,I24,M24,Q24),K3,IF(Q24=MAX(E24,I24,M24,Q24),O3,"meerdere versies"))))</f>
        <v>saxon11.4</v>
      </c>
      <c r="E24" s="2">
        <f>COUNTIF(F5:F22,"L")</f>
        <v>5</v>
      </c>
      <c r="I24" s="2">
        <f>COUNTIF(J5:J22,"L")</f>
        <v>0</v>
      </c>
      <c r="M24" s="2">
        <f>COUNTIF(N5:N22,"L")</f>
        <v>3</v>
      </c>
      <c r="Q24" s="2">
        <f>COUNTIF(R5:R22,"L")</f>
        <v>9</v>
      </c>
    </row>
    <row r="25" spans="1:22" x14ac:dyDescent="0.2">
      <c r="A25" t="s">
        <v>44</v>
      </c>
      <c r="B25" s="4" t="str">
        <f>IF(E24=MIN(E24,I24,M24,Q24),C3,IF(I24=MIN(E24,I24,M24,Q24),G3,IF(M24=MIN(E24,I24,M24,Q24),K3,IF(Q24=MIN(E24,I24,M24,Q24),O3,"meerdere versies"))))</f>
        <v>saxon 9.8.0.15</v>
      </c>
      <c r="E25" s="2">
        <f>COUNTIF(F5:F22,"H")</f>
        <v>3</v>
      </c>
      <c r="I25" s="2">
        <f>COUNTIF(J5:J22,"H")</f>
        <v>10</v>
      </c>
      <c r="M25" s="2">
        <f>COUNTIF(N5:N22,"H")</f>
        <v>2</v>
      </c>
      <c r="Q25" s="2">
        <f>COUNTIF(R5:R22,"H")</f>
        <v>2</v>
      </c>
    </row>
    <row r="26" spans="1:22" x14ac:dyDescent="0.2">
      <c r="B26" s="4"/>
    </row>
    <row r="27" spans="1:22" x14ac:dyDescent="0.2">
      <c r="A27" t="s">
        <v>10</v>
      </c>
      <c r="E27" s="3">
        <f>AVERAGE(E5:E21)</f>
        <v>159.05031305882355</v>
      </c>
      <c r="I27" s="3">
        <f>AVERAGE(I5:I21)</f>
        <v>169.9404591764706</v>
      </c>
      <c r="M27" s="3">
        <f>AVERAGE(M5:M21)</f>
        <v>154.41323764705879</v>
      </c>
      <c r="Q27" s="3">
        <f>AVERAGE(Q5:Q21)</f>
        <v>151.98813764705884</v>
      </c>
    </row>
    <row r="29" spans="1:22" x14ac:dyDescent="0.2">
      <c r="B29" s="4"/>
    </row>
    <row r="30" spans="1:22" x14ac:dyDescent="0.2">
      <c r="B30" s="4"/>
    </row>
    <row r="31" spans="1:22" x14ac:dyDescent="0.2">
      <c r="B31" s="4"/>
    </row>
  </sheetData>
  <autoFilter ref="A4:V4" xr:uid="{759B4D22-7663-FC41-95B4-410684CE73EE}">
    <sortState xmlns:xlrd2="http://schemas.microsoft.com/office/spreadsheetml/2017/richdata2" ref="A5:V53">
      <sortCondition ref="V4:V53"/>
    </sortState>
  </autoFilter>
  <conditionalFormatting sqref="E5:F21 I5:J21 M5:N21 Q5:R21">
    <cfRule type="expression" dxfId="1" priority="20" stopIfTrue="1">
      <formula>IF(E5=$T5,TRUE,FALSE)</formula>
    </cfRule>
    <cfRule type="expression" dxfId="0" priority="21" stopIfTrue="1">
      <formula>IF(E5=$U5,TRUE,FALSE)</formula>
    </cfRule>
  </conditionalFormatting>
  <conditionalFormatting sqref="V5:V21">
    <cfRule type="colorScale" priority="57">
      <colorScale>
        <cfvo type="min"/>
        <cfvo type="percentile" val="50"/>
        <cfvo type="max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41</v>
      </c>
    </row>
    <row r="2" spans="1:1" x14ac:dyDescent="0.2">
      <c r="A2" s="2"/>
    </row>
    <row r="3" spans="1:1" x14ac:dyDescent="0.2">
      <c r="A3" s="4" t="s">
        <v>33</v>
      </c>
    </row>
    <row r="4" spans="1:1" x14ac:dyDescent="0.2">
      <c r="A4" s="4" t="s">
        <v>40</v>
      </c>
    </row>
    <row r="5" spans="1:1" x14ac:dyDescent="0.2">
      <c r="A5" s="4" t="s">
        <v>28</v>
      </c>
    </row>
    <row r="6" spans="1:1" x14ac:dyDescent="0.2">
      <c r="A6" s="4" t="s">
        <v>29</v>
      </c>
    </row>
    <row r="7" spans="1:1" x14ac:dyDescent="0.2">
      <c r="A7" s="4" t="s">
        <v>30</v>
      </c>
    </row>
    <row r="8" spans="1:1" x14ac:dyDescent="0.2">
      <c r="A8" s="4" t="s">
        <v>13</v>
      </c>
    </row>
    <row r="9" spans="1:1" x14ac:dyDescent="0.2">
      <c r="A9" s="4" t="s">
        <v>31</v>
      </c>
    </row>
    <row r="10" spans="1:1" x14ac:dyDescent="0.2">
      <c r="A10" s="4" t="s">
        <v>32</v>
      </c>
    </row>
    <row r="11" spans="1:1" x14ac:dyDescent="0.2">
      <c r="A11" s="4" t="s">
        <v>14</v>
      </c>
    </row>
    <row r="12" spans="1:1" x14ac:dyDescent="0.2">
      <c r="A12" s="4" t="s">
        <v>15</v>
      </c>
    </row>
    <row r="13" spans="1:1" x14ac:dyDescent="0.2">
      <c r="A13" s="4" t="s">
        <v>35</v>
      </c>
    </row>
    <row r="14" spans="1:1" x14ac:dyDescent="0.2">
      <c r="A14" s="4" t="s">
        <v>16</v>
      </c>
    </row>
    <row r="15" spans="1:1" x14ac:dyDescent="0.2">
      <c r="A15" s="4" t="s">
        <v>17</v>
      </c>
    </row>
    <row r="16" spans="1:1" x14ac:dyDescent="0.2">
      <c r="A16" s="4" t="s">
        <v>18</v>
      </c>
    </row>
    <row r="17" spans="1:1" x14ac:dyDescent="0.2">
      <c r="A17" s="4" t="s">
        <v>19</v>
      </c>
    </row>
    <row r="19" spans="1:1" ht="21" x14ac:dyDescent="0.25">
      <c r="A19" s="6" t="s">
        <v>42</v>
      </c>
    </row>
    <row r="20" spans="1:1" x14ac:dyDescent="0.2">
      <c r="A20" s="4" t="s">
        <v>36</v>
      </c>
    </row>
    <row r="21" spans="1:1" x14ac:dyDescent="0.2">
      <c r="A21" s="4" t="s">
        <v>37</v>
      </c>
    </row>
    <row r="22" spans="1:1" x14ac:dyDescent="0.2">
      <c r="A22" s="4" t="s">
        <v>38</v>
      </c>
    </row>
    <row r="23" spans="1:1" x14ac:dyDescent="0.2">
      <c r="A23" s="4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17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20</v>
      </c>
      <c r="B1" t="s">
        <v>21</v>
      </c>
      <c r="C1">
        <v>157211</v>
      </c>
      <c r="D1" t="s">
        <v>0</v>
      </c>
      <c r="E1">
        <v>37.144969000000003</v>
      </c>
      <c r="F1" t="s">
        <v>1</v>
      </c>
      <c r="G1">
        <v>184.32410400000001</v>
      </c>
      <c r="H1" t="s">
        <v>45</v>
      </c>
      <c r="I1" t="s">
        <v>2</v>
      </c>
      <c r="J1" t="s">
        <v>46</v>
      </c>
    </row>
    <row r="2" spans="1:10" x14ac:dyDescent="0.2">
      <c r="A2" t="s">
        <v>20</v>
      </c>
      <c r="B2" t="s">
        <v>21</v>
      </c>
      <c r="C2">
        <v>159415</v>
      </c>
      <c r="D2" t="s">
        <v>0</v>
      </c>
      <c r="E2">
        <v>32.140278000000002</v>
      </c>
      <c r="F2" t="s">
        <v>1</v>
      </c>
      <c r="G2">
        <v>192.93620200000001</v>
      </c>
      <c r="H2" t="s">
        <v>47</v>
      </c>
      <c r="I2" t="s">
        <v>2</v>
      </c>
      <c r="J2" t="s">
        <v>46</v>
      </c>
    </row>
    <row r="3" spans="1:10" x14ac:dyDescent="0.2">
      <c r="A3" t="s">
        <v>20</v>
      </c>
      <c r="B3" t="s">
        <v>21</v>
      </c>
      <c r="C3">
        <v>54665</v>
      </c>
      <c r="D3" t="s">
        <v>0</v>
      </c>
      <c r="E3">
        <v>19.09404</v>
      </c>
      <c r="F3" t="s">
        <v>1</v>
      </c>
      <c r="G3">
        <v>56.509582000000002</v>
      </c>
      <c r="H3" t="s">
        <v>48</v>
      </c>
      <c r="I3" t="s">
        <v>2</v>
      </c>
      <c r="J3" t="s">
        <v>46</v>
      </c>
    </row>
    <row r="4" spans="1:10" x14ac:dyDescent="0.2">
      <c r="A4" t="s">
        <v>20</v>
      </c>
      <c r="B4" t="s">
        <v>21</v>
      </c>
      <c r="C4">
        <v>86675</v>
      </c>
      <c r="D4" t="s">
        <v>0</v>
      </c>
      <c r="E4">
        <v>22.010214000000001</v>
      </c>
      <c r="F4" t="s">
        <v>1</v>
      </c>
      <c r="G4">
        <v>101.754541</v>
      </c>
      <c r="H4" t="s">
        <v>49</v>
      </c>
      <c r="I4" t="s">
        <v>2</v>
      </c>
      <c r="J4" t="s">
        <v>46</v>
      </c>
    </row>
    <row r="5" spans="1:10" x14ac:dyDescent="0.2">
      <c r="A5" t="s">
        <v>20</v>
      </c>
      <c r="B5" t="s">
        <v>21</v>
      </c>
      <c r="C5">
        <v>173084</v>
      </c>
      <c r="D5" t="s">
        <v>0</v>
      </c>
      <c r="E5">
        <v>38.349618</v>
      </c>
      <c r="F5" t="s">
        <v>1</v>
      </c>
      <c r="G5">
        <v>205.19125399999999</v>
      </c>
      <c r="H5" t="s">
        <v>50</v>
      </c>
      <c r="I5" t="s">
        <v>2</v>
      </c>
      <c r="J5" t="s">
        <v>46</v>
      </c>
    </row>
    <row r="6" spans="1:10" x14ac:dyDescent="0.2">
      <c r="A6" t="s">
        <v>20</v>
      </c>
      <c r="B6" t="s">
        <v>21</v>
      </c>
      <c r="C6">
        <v>46033</v>
      </c>
      <c r="D6" t="s">
        <v>0</v>
      </c>
      <c r="E6">
        <v>17.323740999999998</v>
      </c>
      <c r="F6" t="s">
        <v>1</v>
      </c>
      <c r="G6">
        <v>58.306452</v>
      </c>
      <c r="H6" t="s">
        <v>51</v>
      </c>
      <c r="I6" t="s">
        <v>2</v>
      </c>
      <c r="J6" t="s">
        <v>46</v>
      </c>
    </row>
    <row r="7" spans="1:10" x14ac:dyDescent="0.2">
      <c r="A7" t="s">
        <v>20</v>
      </c>
      <c r="B7" t="s">
        <v>21</v>
      </c>
      <c r="C7">
        <v>115767</v>
      </c>
      <c r="D7" t="s">
        <v>0</v>
      </c>
      <c r="E7">
        <v>29.187973</v>
      </c>
      <c r="F7" t="s">
        <v>1</v>
      </c>
      <c r="G7">
        <v>135.86894899999999</v>
      </c>
      <c r="H7" t="s">
        <v>52</v>
      </c>
      <c r="I7" t="s">
        <v>2</v>
      </c>
      <c r="J7" t="s">
        <v>46</v>
      </c>
    </row>
    <row r="8" spans="1:10" x14ac:dyDescent="0.2">
      <c r="A8" t="s">
        <v>20</v>
      </c>
      <c r="B8" t="s">
        <v>21</v>
      </c>
      <c r="C8">
        <v>181187</v>
      </c>
      <c r="D8" t="s">
        <v>0</v>
      </c>
      <c r="E8">
        <v>35.779848000000001</v>
      </c>
      <c r="F8" t="s">
        <v>1</v>
      </c>
      <c r="G8">
        <v>265.04192899999998</v>
      </c>
      <c r="H8" t="s">
        <v>53</v>
      </c>
      <c r="I8" t="s">
        <v>2</v>
      </c>
      <c r="J8" t="s">
        <v>46</v>
      </c>
    </row>
    <row r="9" spans="1:10" x14ac:dyDescent="0.2">
      <c r="A9" t="s">
        <v>20</v>
      </c>
      <c r="B9" t="s">
        <v>21</v>
      </c>
      <c r="C9">
        <v>31012</v>
      </c>
      <c r="D9" t="s">
        <v>0</v>
      </c>
      <c r="E9">
        <v>13.580275</v>
      </c>
      <c r="F9" t="s">
        <v>1</v>
      </c>
      <c r="G9">
        <v>49.853242000000002</v>
      </c>
      <c r="H9" t="s">
        <v>54</v>
      </c>
      <c r="I9" t="s">
        <v>2</v>
      </c>
      <c r="J9" t="s">
        <v>46</v>
      </c>
    </row>
    <row r="10" spans="1:10" x14ac:dyDescent="0.2">
      <c r="A10" t="s">
        <v>20</v>
      </c>
      <c r="B10" t="s">
        <v>21</v>
      </c>
      <c r="C10">
        <v>18385</v>
      </c>
      <c r="D10" t="s">
        <v>0</v>
      </c>
      <c r="E10">
        <v>10.573798</v>
      </c>
      <c r="F10" t="s">
        <v>1</v>
      </c>
      <c r="G10">
        <v>43.055317000000002</v>
      </c>
      <c r="H10" t="s">
        <v>55</v>
      </c>
      <c r="I10" t="s">
        <v>2</v>
      </c>
      <c r="J10" t="s">
        <v>46</v>
      </c>
    </row>
    <row r="11" spans="1:10" x14ac:dyDescent="0.2">
      <c r="A11" t="s">
        <v>20</v>
      </c>
      <c r="B11" t="s">
        <v>21</v>
      </c>
      <c r="C11">
        <v>126643</v>
      </c>
      <c r="D11" t="s">
        <v>0</v>
      </c>
      <c r="E11">
        <v>34.703581</v>
      </c>
      <c r="F11" t="s">
        <v>1</v>
      </c>
      <c r="G11">
        <v>153.26717199999999</v>
      </c>
      <c r="H11" t="s">
        <v>56</v>
      </c>
      <c r="I11" t="s">
        <v>2</v>
      </c>
      <c r="J11" t="s">
        <v>46</v>
      </c>
    </row>
    <row r="12" spans="1:10" x14ac:dyDescent="0.2">
      <c r="A12" t="s">
        <v>20</v>
      </c>
      <c r="B12" t="s">
        <v>21</v>
      </c>
      <c r="C12">
        <v>109766</v>
      </c>
      <c r="D12" t="s">
        <v>0</v>
      </c>
      <c r="E12">
        <v>31.091032999999999</v>
      </c>
      <c r="F12" t="s">
        <v>1</v>
      </c>
      <c r="G12">
        <v>166.81940299999999</v>
      </c>
      <c r="H12" t="s">
        <v>57</v>
      </c>
      <c r="I12" t="s">
        <v>2</v>
      </c>
      <c r="J12" t="s">
        <v>46</v>
      </c>
    </row>
    <row r="13" spans="1:10" x14ac:dyDescent="0.2">
      <c r="A13" t="s">
        <v>20</v>
      </c>
      <c r="B13" t="s">
        <v>21</v>
      </c>
      <c r="C13">
        <v>113140</v>
      </c>
      <c r="D13" t="s">
        <v>0</v>
      </c>
      <c r="E13">
        <v>26.246589</v>
      </c>
      <c r="F13" t="s">
        <v>1</v>
      </c>
      <c r="G13">
        <v>137.92411000000001</v>
      </c>
      <c r="H13" t="s">
        <v>58</v>
      </c>
      <c r="I13" t="s">
        <v>2</v>
      </c>
      <c r="J13" t="s">
        <v>46</v>
      </c>
    </row>
    <row r="14" spans="1:10" x14ac:dyDescent="0.2">
      <c r="A14" t="s">
        <v>20</v>
      </c>
      <c r="B14" t="s">
        <v>21</v>
      </c>
      <c r="C14">
        <v>120896</v>
      </c>
      <c r="D14" t="s">
        <v>0</v>
      </c>
      <c r="E14">
        <v>29.615697000000001</v>
      </c>
      <c r="F14" t="s">
        <v>1</v>
      </c>
      <c r="G14">
        <v>132.12405100000001</v>
      </c>
      <c r="H14" t="s">
        <v>59</v>
      </c>
      <c r="I14" t="s">
        <v>2</v>
      </c>
      <c r="J14" t="s">
        <v>46</v>
      </c>
    </row>
    <row r="15" spans="1:10" x14ac:dyDescent="0.2">
      <c r="A15" t="s">
        <v>20</v>
      </c>
      <c r="B15" t="s">
        <v>21</v>
      </c>
      <c r="C15">
        <v>106627</v>
      </c>
      <c r="D15" t="s">
        <v>0</v>
      </c>
      <c r="E15">
        <v>29.083873000000001</v>
      </c>
      <c r="F15" t="s">
        <v>1</v>
      </c>
      <c r="G15">
        <v>125.350696</v>
      </c>
      <c r="H15" t="s">
        <v>60</v>
      </c>
      <c r="I15" t="s">
        <v>2</v>
      </c>
      <c r="J15" t="s">
        <v>46</v>
      </c>
    </row>
    <row r="16" spans="1:10" x14ac:dyDescent="0.2">
      <c r="A16" t="s">
        <v>20</v>
      </c>
      <c r="B16" t="s">
        <v>21</v>
      </c>
      <c r="C16">
        <v>98289</v>
      </c>
      <c r="D16" t="s">
        <v>0</v>
      </c>
      <c r="E16">
        <v>28.410958000000001</v>
      </c>
      <c r="F16" t="s">
        <v>1</v>
      </c>
      <c r="G16">
        <v>90.030593999999994</v>
      </c>
      <c r="H16" t="s">
        <v>61</v>
      </c>
      <c r="I16" t="s">
        <v>2</v>
      </c>
      <c r="J16" t="s">
        <v>46</v>
      </c>
    </row>
    <row r="17" spans="1:10" x14ac:dyDescent="0.2">
      <c r="A17" t="s">
        <v>20</v>
      </c>
      <c r="B17" t="s">
        <v>21</v>
      </c>
      <c r="C17">
        <v>101133</v>
      </c>
      <c r="D17" t="s">
        <v>0</v>
      </c>
      <c r="E17">
        <v>30.810293000000001</v>
      </c>
      <c r="F17" t="s">
        <v>1</v>
      </c>
      <c r="G17">
        <v>140.35094599999999</v>
      </c>
      <c r="H17" t="s">
        <v>62</v>
      </c>
      <c r="I17" t="s">
        <v>2</v>
      </c>
      <c r="J17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17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21</v>
      </c>
      <c r="C1">
        <v>157211</v>
      </c>
      <c r="D1" t="s">
        <v>0</v>
      </c>
      <c r="E1">
        <v>35.590170000000001</v>
      </c>
      <c r="F1" t="s">
        <v>1</v>
      </c>
      <c r="G1">
        <v>199.406432</v>
      </c>
      <c r="H1" t="s">
        <v>45</v>
      </c>
      <c r="I1" t="s">
        <v>2</v>
      </c>
      <c r="J1" t="s">
        <v>46</v>
      </c>
    </row>
    <row r="2" spans="1:10" x14ac:dyDescent="0.2">
      <c r="A2" t="s">
        <v>22</v>
      </c>
      <c r="B2" t="s">
        <v>21</v>
      </c>
      <c r="C2">
        <v>159415</v>
      </c>
      <c r="D2" t="s">
        <v>0</v>
      </c>
      <c r="E2">
        <v>35.478861999999999</v>
      </c>
      <c r="F2" t="s">
        <v>1</v>
      </c>
      <c r="G2">
        <v>213.744246</v>
      </c>
      <c r="H2" t="s">
        <v>47</v>
      </c>
      <c r="I2" t="s">
        <v>2</v>
      </c>
      <c r="J2" t="s">
        <v>46</v>
      </c>
    </row>
    <row r="3" spans="1:10" x14ac:dyDescent="0.2">
      <c r="A3" t="s">
        <v>22</v>
      </c>
      <c r="B3" t="s">
        <v>21</v>
      </c>
      <c r="C3">
        <v>54665</v>
      </c>
      <c r="D3" t="s">
        <v>0</v>
      </c>
      <c r="E3">
        <v>18.626846</v>
      </c>
      <c r="F3" t="s">
        <v>1</v>
      </c>
      <c r="G3">
        <v>66.591071999999997</v>
      </c>
      <c r="H3" t="s">
        <v>48</v>
      </c>
      <c r="I3" t="s">
        <v>2</v>
      </c>
      <c r="J3" t="s">
        <v>46</v>
      </c>
    </row>
    <row r="4" spans="1:10" x14ac:dyDescent="0.2">
      <c r="A4" t="s">
        <v>22</v>
      </c>
      <c r="B4" t="s">
        <v>21</v>
      </c>
      <c r="C4">
        <v>86675</v>
      </c>
      <c r="D4" t="s">
        <v>0</v>
      </c>
      <c r="E4">
        <v>24.710464000000002</v>
      </c>
      <c r="F4" t="s">
        <v>1</v>
      </c>
      <c r="G4">
        <v>110.264326</v>
      </c>
      <c r="H4" t="s">
        <v>49</v>
      </c>
      <c r="I4" t="s">
        <v>2</v>
      </c>
      <c r="J4" t="s">
        <v>46</v>
      </c>
    </row>
    <row r="5" spans="1:10" x14ac:dyDescent="0.2">
      <c r="A5" t="s">
        <v>22</v>
      </c>
      <c r="B5" t="s">
        <v>21</v>
      </c>
      <c r="C5">
        <v>173084</v>
      </c>
      <c r="D5" t="s">
        <v>0</v>
      </c>
      <c r="E5">
        <v>32.364151999999997</v>
      </c>
      <c r="F5" t="s">
        <v>1</v>
      </c>
      <c r="G5">
        <v>226.68244000000001</v>
      </c>
      <c r="H5" t="s">
        <v>50</v>
      </c>
      <c r="I5" t="s">
        <v>2</v>
      </c>
      <c r="J5" t="s">
        <v>46</v>
      </c>
    </row>
    <row r="6" spans="1:10" x14ac:dyDescent="0.2">
      <c r="A6" t="s">
        <v>22</v>
      </c>
      <c r="B6" t="s">
        <v>21</v>
      </c>
      <c r="C6">
        <v>46033</v>
      </c>
      <c r="D6" t="s">
        <v>0</v>
      </c>
      <c r="E6">
        <v>19.822785</v>
      </c>
      <c r="F6" t="s">
        <v>1</v>
      </c>
      <c r="G6">
        <v>74.499966999999998</v>
      </c>
      <c r="H6" t="s">
        <v>51</v>
      </c>
      <c r="I6" t="s">
        <v>2</v>
      </c>
      <c r="J6" t="s">
        <v>46</v>
      </c>
    </row>
    <row r="7" spans="1:10" x14ac:dyDescent="0.2">
      <c r="A7" t="s">
        <v>22</v>
      </c>
      <c r="B7" t="s">
        <v>21</v>
      </c>
      <c r="C7">
        <v>115767</v>
      </c>
      <c r="D7" t="s">
        <v>0</v>
      </c>
      <c r="E7">
        <v>34.943224999999998</v>
      </c>
      <c r="F7" t="s">
        <v>1</v>
      </c>
      <c r="G7">
        <v>155.431085</v>
      </c>
      <c r="H7" t="s">
        <v>52</v>
      </c>
      <c r="I7" t="s">
        <v>2</v>
      </c>
      <c r="J7" t="s">
        <v>46</v>
      </c>
    </row>
    <row r="8" spans="1:10" x14ac:dyDescent="0.2">
      <c r="A8" t="s">
        <v>22</v>
      </c>
      <c r="B8" t="s">
        <v>21</v>
      </c>
      <c r="C8">
        <v>181187</v>
      </c>
      <c r="D8" t="s">
        <v>0</v>
      </c>
      <c r="E8">
        <v>39.487433000000003</v>
      </c>
      <c r="F8" t="s">
        <v>1</v>
      </c>
      <c r="G8">
        <v>290.70515499999999</v>
      </c>
      <c r="H8" t="s">
        <v>53</v>
      </c>
      <c r="I8" t="s">
        <v>2</v>
      </c>
      <c r="J8" t="s">
        <v>46</v>
      </c>
    </row>
    <row r="9" spans="1:10" x14ac:dyDescent="0.2">
      <c r="A9" t="s">
        <v>22</v>
      </c>
      <c r="B9" t="s">
        <v>21</v>
      </c>
      <c r="C9">
        <v>31012</v>
      </c>
      <c r="D9" t="s">
        <v>0</v>
      </c>
      <c r="E9">
        <v>23.843464000000001</v>
      </c>
      <c r="F9" t="s">
        <v>1</v>
      </c>
      <c r="G9">
        <v>70.533839999999998</v>
      </c>
      <c r="H9" t="s">
        <v>54</v>
      </c>
      <c r="I9" t="s">
        <v>2</v>
      </c>
      <c r="J9" t="s">
        <v>46</v>
      </c>
    </row>
    <row r="10" spans="1:10" x14ac:dyDescent="0.2">
      <c r="A10" t="s">
        <v>22</v>
      </c>
      <c r="B10" t="s">
        <v>21</v>
      </c>
      <c r="C10">
        <v>18385</v>
      </c>
      <c r="D10" t="s">
        <v>0</v>
      </c>
      <c r="E10">
        <v>11.670642000000001</v>
      </c>
      <c r="F10" t="s">
        <v>1</v>
      </c>
      <c r="G10">
        <v>45.666769000000002</v>
      </c>
      <c r="H10" t="s">
        <v>55</v>
      </c>
      <c r="I10" t="s">
        <v>2</v>
      </c>
      <c r="J10" t="s">
        <v>46</v>
      </c>
    </row>
    <row r="11" spans="1:10" x14ac:dyDescent="0.2">
      <c r="A11" t="s">
        <v>22</v>
      </c>
      <c r="B11" t="s">
        <v>21</v>
      </c>
      <c r="C11">
        <v>126643</v>
      </c>
      <c r="D11" t="s">
        <v>0</v>
      </c>
      <c r="E11">
        <v>31.250457999999998</v>
      </c>
      <c r="F11" t="s">
        <v>1</v>
      </c>
      <c r="G11">
        <v>158.57250099999999</v>
      </c>
      <c r="H11" t="s">
        <v>56</v>
      </c>
      <c r="I11" t="s">
        <v>2</v>
      </c>
      <c r="J11" t="s">
        <v>46</v>
      </c>
    </row>
    <row r="12" spans="1:10" x14ac:dyDescent="0.2">
      <c r="A12" t="s">
        <v>22</v>
      </c>
      <c r="B12" t="s">
        <v>21</v>
      </c>
      <c r="C12">
        <v>109766</v>
      </c>
      <c r="D12" t="s">
        <v>0</v>
      </c>
      <c r="E12">
        <v>43.113664999999997</v>
      </c>
      <c r="F12" t="s">
        <v>1</v>
      </c>
      <c r="G12">
        <v>124.629493</v>
      </c>
      <c r="H12" t="s">
        <v>57</v>
      </c>
      <c r="I12" t="s">
        <v>2</v>
      </c>
      <c r="J12" t="s">
        <v>46</v>
      </c>
    </row>
    <row r="13" spans="1:10" x14ac:dyDescent="0.2">
      <c r="A13" t="s">
        <v>22</v>
      </c>
      <c r="B13" t="s">
        <v>21</v>
      </c>
      <c r="C13">
        <v>113140</v>
      </c>
      <c r="D13" t="s">
        <v>0</v>
      </c>
      <c r="E13">
        <v>28.011772000000001</v>
      </c>
      <c r="F13" t="s">
        <v>1</v>
      </c>
      <c r="G13">
        <v>135.23577399999999</v>
      </c>
      <c r="H13" t="s">
        <v>58</v>
      </c>
      <c r="I13" t="s">
        <v>2</v>
      </c>
      <c r="J13" t="s">
        <v>46</v>
      </c>
    </row>
    <row r="14" spans="1:10" x14ac:dyDescent="0.2">
      <c r="A14" t="s">
        <v>22</v>
      </c>
      <c r="B14" t="s">
        <v>21</v>
      </c>
      <c r="C14">
        <v>120896</v>
      </c>
      <c r="D14" t="s">
        <v>0</v>
      </c>
      <c r="E14">
        <v>33.799146999999998</v>
      </c>
      <c r="F14" t="s">
        <v>1</v>
      </c>
      <c r="G14">
        <v>148.54452900000001</v>
      </c>
      <c r="H14" t="s">
        <v>59</v>
      </c>
      <c r="I14" t="s">
        <v>2</v>
      </c>
      <c r="J14" t="s">
        <v>46</v>
      </c>
    </row>
    <row r="15" spans="1:10" x14ac:dyDescent="0.2">
      <c r="A15" t="s">
        <v>22</v>
      </c>
      <c r="B15" t="s">
        <v>21</v>
      </c>
      <c r="C15">
        <v>106627</v>
      </c>
      <c r="D15" t="s">
        <v>0</v>
      </c>
      <c r="E15">
        <v>34.295783999999998</v>
      </c>
      <c r="F15" t="s">
        <v>1</v>
      </c>
      <c r="G15">
        <v>123.347168</v>
      </c>
      <c r="H15" t="s">
        <v>60</v>
      </c>
      <c r="I15" t="s">
        <v>2</v>
      </c>
      <c r="J15" t="s">
        <v>46</v>
      </c>
    </row>
    <row r="16" spans="1:10" x14ac:dyDescent="0.2">
      <c r="A16" t="s">
        <v>22</v>
      </c>
      <c r="B16" t="s">
        <v>21</v>
      </c>
      <c r="C16">
        <v>98289</v>
      </c>
      <c r="D16" t="s">
        <v>0</v>
      </c>
      <c r="E16">
        <v>22.164473999999998</v>
      </c>
      <c r="F16" t="s">
        <v>1</v>
      </c>
      <c r="G16">
        <v>95.288460000000001</v>
      </c>
      <c r="H16" t="s">
        <v>61</v>
      </c>
      <c r="I16" t="s">
        <v>2</v>
      </c>
      <c r="J16" t="s">
        <v>46</v>
      </c>
    </row>
    <row r="17" spans="1:10" x14ac:dyDescent="0.2">
      <c r="A17" t="s">
        <v>22</v>
      </c>
      <c r="B17" t="s">
        <v>21</v>
      </c>
      <c r="C17">
        <v>101133</v>
      </c>
      <c r="D17" t="s">
        <v>0</v>
      </c>
      <c r="E17">
        <v>23.713041</v>
      </c>
      <c r="F17" t="s">
        <v>1</v>
      </c>
      <c r="G17">
        <v>156.95816500000001</v>
      </c>
      <c r="H17" t="s">
        <v>62</v>
      </c>
      <c r="I17" t="s">
        <v>2</v>
      </c>
      <c r="J17" t="s">
        <v>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17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21</v>
      </c>
      <c r="C1">
        <v>157211</v>
      </c>
      <c r="D1" t="s">
        <v>0</v>
      </c>
      <c r="E1">
        <v>33.055283000000003</v>
      </c>
      <c r="F1" t="s">
        <v>1</v>
      </c>
      <c r="G1">
        <v>187.839133</v>
      </c>
      <c r="H1" t="s">
        <v>45</v>
      </c>
      <c r="I1" t="s">
        <v>2</v>
      </c>
      <c r="J1" t="s">
        <v>46</v>
      </c>
    </row>
    <row r="2" spans="1:10" x14ac:dyDescent="0.2">
      <c r="A2" t="s">
        <v>23</v>
      </c>
      <c r="B2" t="s">
        <v>21</v>
      </c>
      <c r="C2">
        <v>159415</v>
      </c>
      <c r="D2" t="s">
        <v>0</v>
      </c>
      <c r="E2">
        <v>35.000038000000004</v>
      </c>
      <c r="F2" t="s">
        <v>1</v>
      </c>
      <c r="G2">
        <v>198.67230799999999</v>
      </c>
      <c r="H2" t="s">
        <v>47</v>
      </c>
      <c r="I2" t="s">
        <v>2</v>
      </c>
      <c r="J2" t="s">
        <v>46</v>
      </c>
    </row>
    <row r="3" spans="1:10" x14ac:dyDescent="0.2">
      <c r="A3" t="s">
        <v>23</v>
      </c>
      <c r="B3" t="s">
        <v>21</v>
      </c>
      <c r="C3">
        <v>54665</v>
      </c>
      <c r="D3" t="s">
        <v>0</v>
      </c>
      <c r="E3">
        <v>18.936197</v>
      </c>
      <c r="F3" t="s">
        <v>1</v>
      </c>
      <c r="G3">
        <v>69.267374000000004</v>
      </c>
      <c r="H3" t="s">
        <v>48</v>
      </c>
      <c r="I3" t="s">
        <v>2</v>
      </c>
      <c r="J3" t="s">
        <v>46</v>
      </c>
    </row>
    <row r="4" spans="1:10" x14ac:dyDescent="0.2">
      <c r="A4" t="s">
        <v>23</v>
      </c>
      <c r="B4" t="s">
        <v>21</v>
      </c>
      <c r="C4">
        <v>86675</v>
      </c>
      <c r="D4" t="s">
        <v>0</v>
      </c>
      <c r="E4">
        <v>20.742743999999998</v>
      </c>
      <c r="F4" t="s">
        <v>1</v>
      </c>
      <c r="G4">
        <v>106.354426</v>
      </c>
      <c r="H4" t="s">
        <v>49</v>
      </c>
      <c r="I4" t="s">
        <v>2</v>
      </c>
      <c r="J4" t="s">
        <v>46</v>
      </c>
    </row>
    <row r="5" spans="1:10" x14ac:dyDescent="0.2">
      <c r="A5" t="s">
        <v>23</v>
      </c>
      <c r="B5" t="s">
        <v>21</v>
      </c>
      <c r="C5">
        <v>173084</v>
      </c>
      <c r="D5" t="s">
        <v>0</v>
      </c>
      <c r="E5">
        <v>30.944814999999998</v>
      </c>
      <c r="F5" t="s">
        <v>1</v>
      </c>
      <c r="G5">
        <v>203.83028200000001</v>
      </c>
      <c r="H5" t="s">
        <v>50</v>
      </c>
      <c r="I5" t="s">
        <v>2</v>
      </c>
      <c r="J5" t="s">
        <v>46</v>
      </c>
    </row>
    <row r="6" spans="1:10" x14ac:dyDescent="0.2">
      <c r="A6" t="s">
        <v>23</v>
      </c>
      <c r="B6" t="s">
        <v>21</v>
      </c>
      <c r="C6">
        <v>46033</v>
      </c>
      <c r="D6" t="s">
        <v>0</v>
      </c>
      <c r="E6">
        <v>21.241807999999999</v>
      </c>
      <c r="F6" t="s">
        <v>1</v>
      </c>
      <c r="G6">
        <v>64.061042999999998</v>
      </c>
      <c r="H6" t="s">
        <v>51</v>
      </c>
      <c r="I6" t="s">
        <v>2</v>
      </c>
      <c r="J6" t="s">
        <v>46</v>
      </c>
    </row>
    <row r="7" spans="1:10" x14ac:dyDescent="0.2">
      <c r="A7" t="s">
        <v>23</v>
      </c>
      <c r="B7" t="s">
        <v>21</v>
      </c>
      <c r="C7">
        <v>115767</v>
      </c>
      <c r="D7" t="s">
        <v>0</v>
      </c>
      <c r="E7">
        <v>30.897341999999998</v>
      </c>
      <c r="F7" t="s">
        <v>1</v>
      </c>
      <c r="G7">
        <v>145.00142500000001</v>
      </c>
      <c r="H7" t="s">
        <v>52</v>
      </c>
      <c r="I7" t="s">
        <v>2</v>
      </c>
      <c r="J7" t="s">
        <v>46</v>
      </c>
    </row>
    <row r="8" spans="1:10" x14ac:dyDescent="0.2">
      <c r="A8" t="s">
        <v>23</v>
      </c>
      <c r="B8" t="s">
        <v>21</v>
      </c>
      <c r="C8">
        <v>181187</v>
      </c>
      <c r="D8" t="s">
        <v>0</v>
      </c>
      <c r="E8">
        <v>32.469783</v>
      </c>
      <c r="F8" t="s">
        <v>1</v>
      </c>
      <c r="G8">
        <v>243.88471799999999</v>
      </c>
      <c r="H8" t="s">
        <v>53</v>
      </c>
      <c r="I8" t="s">
        <v>2</v>
      </c>
      <c r="J8" t="s">
        <v>46</v>
      </c>
    </row>
    <row r="9" spans="1:10" x14ac:dyDescent="0.2">
      <c r="A9" t="s">
        <v>23</v>
      </c>
      <c r="B9" t="s">
        <v>21</v>
      </c>
      <c r="C9">
        <v>31012</v>
      </c>
      <c r="D9" t="s">
        <v>0</v>
      </c>
      <c r="E9">
        <v>17.739495999999999</v>
      </c>
      <c r="F9" t="s">
        <v>1</v>
      </c>
      <c r="G9">
        <v>52.889767999999997</v>
      </c>
      <c r="H9" t="s">
        <v>54</v>
      </c>
      <c r="I9" t="s">
        <v>2</v>
      </c>
      <c r="J9" t="s">
        <v>46</v>
      </c>
    </row>
    <row r="10" spans="1:10" x14ac:dyDescent="0.2">
      <c r="A10" t="s">
        <v>23</v>
      </c>
      <c r="B10" t="s">
        <v>21</v>
      </c>
      <c r="C10">
        <v>18385</v>
      </c>
      <c r="D10" t="s">
        <v>0</v>
      </c>
      <c r="E10">
        <v>10.915827</v>
      </c>
      <c r="F10" t="s">
        <v>1</v>
      </c>
      <c r="G10">
        <v>40.611727999999999</v>
      </c>
      <c r="H10" t="s">
        <v>55</v>
      </c>
      <c r="I10" t="s">
        <v>2</v>
      </c>
      <c r="J10" t="s">
        <v>46</v>
      </c>
    </row>
    <row r="11" spans="1:10" x14ac:dyDescent="0.2">
      <c r="A11" t="s">
        <v>23</v>
      </c>
      <c r="B11" t="s">
        <v>21</v>
      </c>
      <c r="C11">
        <v>126643</v>
      </c>
      <c r="D11" t="s">
        <v>0</v>
      </c>
      <c r="E11">
        <v>27.303874</v>
      </c>
      <c r="F11" t="s">
        <v>1</v>
      </c>
      <c r="G11">
        <v>134.07998799999999</v>
      </c>
      <c r="H11" t="s">
        <v>56</v>
      </c>
      <c r="I11" t="s">
        <v>2</v>
      </c>
      <c r="J11" t="s">
        <v>46</v>
      </c>
    </row>
    <row r="12" spans="1:10" x14ac:dyDescent="0.2">
      <c r="A12" t="s">
        <v>23</v>
      </c>
      <c r="B12" t="s">
        <v>21</v>
      </c>
      <c r="C12">
        <v>109766</v>
      </c>
      <c r="D12" t="s">
        <v>0</v>
      </c>
      <c r="E12">
        <v>27.405902999999999</v>
      </c>
      <c r="F12" t="s">
        <v>1</v>
      </c>
      <c r="G12">
        <v>110.077292</v>
      </c>
      <c r="H12" t="s">
        <v>57</v>
      </c>
      <c r="I12" t="s">
        <v>2</v>
      </c>
      <c r="J12" t="s">
        <v>46</v>
      </c>
    </row>
    <row r="13" spans="1:10" x14ac:dyDescent="0.2">
      <c r="A13" t="s">
        <v>23</v>
      </c>
      <c r="B13" t="s">
        <v>21</v>
      </c>
      <c r="C13">
        <v>113140</v>
      </c>
      <c r="D13" t="s">
        <v>0</v>
      </c>
      <c r="E13">
        <v>23.405249999999999</v>
      </c>
      <c r="F13" t="s">
        <v>1</v>
      </c>
      <c r="G13">
        <v>126.335452</v>
      </c>
      <c r="H13" t="s">
        <v>58</v>
      </c>
      <c r="I13" t="s">
        <v>2</v>
      </c>
      <c r="J13" t="s">
        <v>46</v>
      </c>
    </row>
    <row r="14" spans="1:10" x14ac:dyDescent="0.2">
      <c r="A14" t="s">
        <v>23</v>
      </c>
      <c r="B14" t="s">
        <v>21</v>
      </c>
      <c r="C14">
        <v>120896</v>
      </c>
      <c r="D14" t="s">
        <v>0</v>
      </c>
      <c r="E14">
        <v>29.444147999999998</v>
      </c>
      <c r="F14" t="s">
        <v>1</v>
      </c>
      <c r="G14">
        <v>136.524033</v>
      </c>
      <c r="H14" t="s">
        <v>59</v>
      </c>
      <c r="I14" t="s">
        <v>2</v>
      </c>
      <c r="J14" t="s">
        <v>46</v>
      </c>
    </row>
    <row r="15" spans="1:10" x14ac:dyDescent="0.2">
      <c r="A15" t="s">
        <v>23</v>
      </c>
      <c r="B15" t="s">
        <v>21</v>
      </c>
      <c r="C15">
        <v>106627</v>
      </c>
      <c r="D15" t="s">
        <v>0</v>
      </c>
      <c r="E15">
        <v>27.650137000000001</v>
      </c>
      <c r="F15" t="s">
        <v>1</v>
      </c>
      <c r="G15">
        <v>131.38821300000001</v>
      </c>
      <c r="H15" t="s">
        <v>60</v>
      </c>
      <c r="I15" t="s">
        <v>2</v>
      </c>
      <c r="J15" t="s">
        <v>46</v>
      </c>
    </row>
    <row r="16" spans="1:10" x14ac:dyDescent="0.2">
      <c r="A16" t="s">
        <v>23</v>
      </c>
      <c r="B16" t="s">
        <v>21</v>
      </c>
      <c r="C16">
        <v>98289</v>
      </c>
      <c r="D16" t="s">
        <v>0</v>
      </c>
      <c r="E16">
        <v>26.184056000000002</v>
      </c>
      <c r="F16" t="s">
        <v>1</v>
      </c>
      <c r="G16">
        <v>91.307542999999995</v>
      </c>
      <c r="H16" t="s">
        <v>61</v>
      </c>
      <c r="I16" t="s">
        <v>2</v>
      </c>
      <c r="J16" t="s">
        <v>46</v>
      </c>
    </row>
    <row r="17" spans="1:10" x14ac:dyDescent="0.2">
      <c r="A17" t="s">
        <v>23</v>
      </c>
      <c r="B17" t="s">
        <v>21</v>
      </c>
      <c r="C17">
        <v>101133</v>
      </c>
      <c r="D17" t="s">
        <v>0</v>
      </c>
      <c r="E17">
        <v>28.776463</v>
      </c>
      <c r="F17" t="s">
        <v>1</v>
      </c>
      <c r="G17">
        <v>140.78715</v>
      </c>
      <c r="H17" t="s">
        <v>62</v>
      </c>
      <c r="I17" t="s">
        <v>2</v>
      </c>
      <c r="J17" t="s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17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24</v>
      </c>
      <c r="B1" t="s">
        <v>21</v>
      </c>
      <c r="C1">
        <v>157211</v>
      </c>
      <c r="D1" t="s">
        <v>0</v>
      </c>
      <c r="E1">
        <v>37.358277999999999</v>
      </c>
      <c r="F1" t="s">
        <v>1</v>
      </c>
      <c r="G1">
        <v>176.93367000000001</v>
      </c>
      <c r="H1" t="s">
        <v>45</v>
      </c>
      <c r="I1" t="s">
        <v>2</v>
      </c>
      <c r="J1" t="s">
        <v>46</v>
      </c>
    </row>
    <row r="2" spans="1:10" x14ac:dyDescent="0.2">
      <c r="A2" t="s">
        <v>24</v>
      </c>
      <c r="B2" t="s">
        <v>21</v>
      </c>
      <c r="C2">
        <v>159415</v>
      </c>
      <c r="D2" t="s">
        <v>0</v>
      </c>
      <c r="E2">
        <v>29.618770999999999</v>
      </c>
      <c r="F2" t="s">
        <v>1</v>
      </c>
      <c r="G2">
        <v>198.63199499999999</v>
      </c>
      <c r="H2" t="s">
        <v>47</v>
      </c>
      <c r="I2" t="s">
        <v>2</v>
      </c>
      <c r="J2" t="s">
        <v>46</v>
      </c>
    </row>
    <row r="3" spans="1:10" x14ac:dyDescent="0.2">
      <c r="A3" t="s">
        <v>24</v>
      </c>
      <c r="B3" t="s">
        <v>21</v>
      </c>
      <c r="C3">
        <v>54665</v>
      </c>
      <c r="D3" t="s">
        <v>0</v>
      </c>
      <c r="E3">
        <v>17.804361</v>
      </c>
      <c r="F3" t="s">
        <v>1</v>
      </c>
      <c r="G3">
        <v>63.416356999999998</v>
      </c>
      <c r="H3" t="s">
        <v>48</v>
      </c>
      <c r="I3" t="s">
        <v>2</v>
      </c>
      <c r="J3" t="s">
        <v>46</v>
      </c>
    </row>
    <row r="4" spans="1:10" x14ac:dyDescent="0.2">
      <c r="A4" t="s">
        <v>24</v>
      </c>
      <c r="B4" t="s">
        <v>21</v>
      </c>
      <c r="C4">
        <v>86675</v>
      </c>
      <c r="D4" t="s">
        <v>0</v>
      </c>
      <c r="E4">
        <v>28.276318</v>
      </c>
      <c r="F4" t="s">
        <v>1</v>
      </c>
      <c r="G4">
        <v>106.99334399999999</v>
      </c>
      <c r="H4" t="s">
        <v>49</v>
      </c>
      <c r="I4" t="s">
        <v>2</v>
      </c>
      <c r="J4" t="s">
        <v>46</v>
      </c>
    </row>
    <row r="5" spans="1:10" x14ac:dyDescent="0.2">
      <c r="A5" t="s">
        <v>24</v>
      </c>
      <c r="B5" t="s">
        <v>21</v>
      </c>
      <c r="C5">
        <v>173084</v>
      </c>
      <c r="D5" t="s">
        <v>0</v>
      </c>
      <c r="E5">
        <v>31.564791</v>
      </c>
      <c r="F5" t="s">
        <v>1</v>
      </c>
      <c r="G5">
        <v>191.820153</v>
      </c>
      <c r="H5" t="s">
        <v>50</v>
      </c>
      <c r="I5" t="s">
        <v>2</v>
      </c>
      <c r="J5" t="s">
        <v>46</v>
      </c>
    </row>
    <row r="6" spans="1:10" x14ac:dyDescent="0.2">
      <c r="A6" t="s">
        <v>24</v>
      </c>
      <c r="B6" t="s">
        <v>21</v>
      </c>
      <c r="C6">
        <v>46033</v>
      </c>
      <c r="D6" t="s">
        <v>0</v>
      </c>
      <c r="E6">
        <v>18.920794999999998</v>
      </c>
      <c r="F6" t="s">
        <v>1</v>
      </c>
      <c r="G6">
        <v>62.405423999999996</v>
      </c>
      <c r="H6" t="s">
        <v>51</v>
      </c>
      <c r="I6" t="s">
        <v>2</v>
      </c>
      <c r="J6" t="s">
        <v>46</v>
      </c>
    </row>
    <row r="7" spans="1:10" x14ac:dyDescent="0.2">
      <c r="A7" t="s">
        <v>24</v>
      </c>
      <c r="B7" t="s">
        <v>21</v>
      </c>
      <c r="C7">
        <v>115767</v>
      </c>
      <c r="D7" t="s">
        <v>0</v>
      </c>
      <c r="E7">
        <v>27.617355</v>
      </c>
      <c r="F7" t="s">
        <v>1</v>
      </c>
      <c r="G7">
        <v>136.645813</v>
      </c>
      <c r="H7" t="s">
        <v>52</v>
      </c>
      <c r="I7" t="s">
        <v>2</v>
      </c>
      <c r="J7" t="s">
        <v>46</v>
      </c>
    </row>
    <row r="8" spans="1:10" x14ac:dyDescent="0.2">
      <c r="A8" t="s">
        <v>24</v>
      </c>
      <c r="B8" t="s">
        <v>21</v>
      </c>
      <c r="C8">
        <v>181187</v>
      </c>
      <c r="D8" t="s">
        <v>0</v>
      </c>
      <c r="E8">
        <v>33.785252</v>
      </c>
      <c r="F8" t="s">
        <v>1</v>
      </c>
      <c r="G8">
        <v>234.986604</v>
      </c>
      <c r="H8" t="s">
        <v>53</v>
      </c>
      <c r="I8" t="s">
        <v>2</v>
      </c>
      <c r="J8" t="s">
        <v>46</v>
      </c>
    </row>
    <row r="9" spans="1:10" x14ac:dyDescent="0.2">
      <c r="A9" t="s">
        <v>24</v>
      </c>
      <c r="B9" t="s">
        <v>21</v>
      </c>
      <c r="C9">
        <v>31012</v>
      </c>
      <c r="D9" t="s">
        <v>0</v>
      </c>
      <c r="E9">
        <v>13.32321</v>
      </c>
      <c r="F9" t="s">
        <v>1</v>
      </c>
      <c r="G9">
        <v>56.330084999999997</v>
      </c>
      <c r="H9" t="s">
        <v>54</v>
      </c>
      <c r="I9" t="s">
        <v>2</v>
      </c>
      <c r="J9" t="s">
        <v>46</v>
      </c>
    </row>
    <row r="10" spans="1:10" x14ac:dyDescent="0.2">
      <c r="A10" t="s">
        <v>24</v>
      </c>
      <c r="B10" t="s">
        <v>21</v>
      </c>
      <c r="C10">
        <v>18385</v>
      </c>
      <c r="D10" t="s">
        <v>0</v>
      </c>
      <c r="E10">
        <v>8.8662120000000009</v>
      </c>
      <c r="F10" t="s">
        <v>1</v>
      </c>
      <c r="G10">
        <v>40.203724999999999</v>
      </c>
      <c r="H10" t="s">
        <v>55</v>
      </c>
      <c r="I10" t="s">
        <v>2</v>
      </c>
      <c r="J10" t="s">
        <v>46</v>
      </c>
    </row>
    <row r="11" spans="1:10" x14ac:dyDescent="0.2">
      <c r="A11" t="s">
        <v>24</v>
      </c>
      <c r="B11" t="s">
        <v>21</v>
      </c>
      <c r="C11">
        <v>126643</v>
      </c>
      <c r="D11" t="s">
        <v>0</v>
      </c>
      <c r="E11">
        <v>29.377095000000001</v>
      </c>
      <c r="F11" t="s">
        <v>1</v>
      </c>
      <c r="G11">
        <v>160.50200000000001</v>
      </c>
      <c r="H11" t="s">
        <v>56</v>
      </c>
      <c r="I11" t="s">
        <v>2</v>
      </c>
      <c r="J11" t="s">
        <v>46</v>
      </c>
    </row>
    <row r="12" spans="1:10" x14ac:dyDescent="0.2">
      <c r="A12" t="s">
        <v>24</v>
      </c>
      <c r="B12" t="s">
        <v>21</v>
      </c>
      <c r="C12">
        <v>109766</v>
      </c>
      <c r="D12" t="s">
        <v>0</v>
      </c>
      <c r="E12">
        <v>31.426338999999999</v>
      </c>
      <c r="F12" t="s">
        <v>1</v>
      </c>
      <c r="G12">
        <v>120.73339799999999</v>
      </c>
      <c r="H12" t="s">
        <v>57</v>
      </c>
      <c r="I12" t="s">
        <v>2</v>
      </c>
      <c r="J12" t="s">
        <v>46</v>
      </c>
    </row>
    <row r="13" spans="1:10" x14ac:dyDescent="0.2">
      <c r="A13" t="s">
        <v>24</v>
      </c>
      <c r="B13" t="s">
        <v>21</v>
      </c>
      <c r="C13">
        <v>113140</v>
      </c>
      <c r="D13" t="s">
        <v>0</v>
      </c>
      <c r="E13">
        <v>30.511927</v>
      </c>
      <c r="F13" t="s">
        <v>1</v>
      </c>
      <c r="G13">
        <v>124.420451</v>
      </c>
      <c r="H13" t="s">
        <v>58</v>
      </c>
      <c r="I13" t="s">
        <v>2</v>
      </c>
      <c r="J13" t="s">
        <v>46</v>
      </c>
    </row>
    <row r="14" spans="1:10" x14ac:dyDescent="0.2">
      <c r="A14" t="s">
        <v>24</v>
      </c>
      <c r="B14" t="s">
        <v>21</v>
      </c>
      <c r="C14">
        <v>120896</v>
      </c>
      <c r="D14" t="s">
        <v>0</v>
      </c>
      <c r="E14">
        <v>29.120654999999999</v>
      </c>
      <c r="F14" t="s">
        <v>1</v>
      </c>
      <c r="G14">
        <v>124.107613</v>
      </c>
      <c r="H14" t="s">
        <v>59</v>
      </c>
      <c r="I14" t="s">
        <v>2</v>
      </c>
      <c r="J14" t="s">
        <v>46</v>
      </c>
    </row>
    <row r="15" spans="1:10" x14ac:dyDescent="0.2">
      <c r="A15" t="s">
        <v>24</v>
      </c>
      <c r="B15" t="s">
        <v>21</v>
      </c>
      <c r="C15">
        <v>106627</v>
      </c>
      <c r="D15" t="s">
        <v>0</v>
      </c>
      <c r="E15">
        <v>29.134247999999999</v>
      </c>
      <c r="F15" t="s">
        <v>1</v>
      </c>
      <c r="G15">
        <v>119.766175</v>
      </c>
      <c r="H15" t="s">
        <v>60</v>
      </c>
      <c r="I15" t="s">
        <v>2</v>
      </c>
      <c r="J15" t="s">
        <v>46</v>
      </c>
    </row>
    <row r="16" spans="1:10" x14ac:dyDescent="0.2">
      <c r="A16" t="s">
        <v>24</v>
      </c>
      <c r="B16" t="s">
        <v>21</v>
      </c>
      <c r="C16">
        <v>98289</v>
      </c>
      <c r="D16" t="s">
        <v>0</v>
      </c>
      <c r="E16">
        <v>25.253091000000001</v>
      </c>
      <c r="F16" t="s">
        <v>1</v>
      </c>
      <c r="G16">
        <v>90.782332999999994</v>
      </c>
      <c r="H16" t="s">
        <v>61</v>
      </c>
      <c r="I16" t="s">
        <v>2</v>
      </c>
      <c r="J16" t="s">
        <v>46</v>
      </c>
    </row>
    <row r="17" spans="1:10" x14ac:dyDescent="0.2">
      <c r="A17" t="s">
        <v>24</v>
      </c>
      <c r="B17" t="s">
        <v>21</v>
      </c>
      <c r="C17">
        <v>101133</v>
      </c>
      <c r="D17" t="s">
        <v>0</v>
      </c>
      <c r="E17">
        <v>21.917012</v>
      </c>
      <c r="F17" t="s">
        <v>1</v>
      </c>
      <c r="G17">
        <v>131.24349000000001</v>
      </c>
      <c r="H17" t="s">
        <v>62</v>
      </c>
      <c r="I17" t="s">
        <v>2</v>
      </c>
      <c r="J17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2022-12-06T17:35:53Z</dcterms:modified>
</cp:coreProperties>
</file>